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" windowWidth="18960" windowHeight="11328" activeTab="8"/>
  </bookViews>
  <sheets>
    <sheet name="Table 1" sheetId="1" r:id="rId1"/>
    <sheet name="Sheet4" sheetId="14" r:id="rId2"/>
    <sheet name="Sheet1" sheetId="2" r:id="rId3"/>
    <sheet name="Sheet2" sheetId="3" r:id="rId4"/>
    <sheet name="Seasonal Naive" sheetId="8" r:id="rId5"/>
    <sheet name="descriptive stats-Jarque Bera" sheetId="13" r:id="rId6"/>
    <sheet name="CHARTS" sheetId="7" r:id="rId7"/>
    <sheet name="Sheet3" sheetId="9" r:id="rId8"/>
    <sheet name="Sheet5" sheetId="15" r:id="rId9"/>
    <sheet name="logaritmoi" sheetId="16" r:id="rId10"/>
  </sheets>
  <calcPr calcId="144525"/>
</workbook>
</file>

<file path=xl/calcChain.xml><?xml version="1.0" encoding="utf-8"?>
<calcChain xmlns="http://schemas.openxmlformats.org/spreadsheetml/2006/main">
  <c r="AD145" i="16" l="1"/>
  <c r="AD25" i="16"/>
  <c r="B2" i="16"/>
  <c r="AD156" i="16" l="1"/>
  <c r="AG26" i="16"/>
  <c r="AG27" i="16"/>
  <c r="AG28" i="16"/>
  <c r="AG29" i="16"/>
  <c r="AG30" i="16"/>
  <c r="AG31" i="16"/>
  <c r="AG32" i="16"/>
  <c r="AG33" i="16"/>
  <c r="AG34" i="16"/>
  <c r="AG35" i="16"/>
  <c r="AG36" i="16"/>
  <c r="AG37" i="16"/>
  <c r="AG38" i="16"/>
  <c r="AG39" i="16"/>
  <c r="AG40" i="16"/>
  <c r="AG41" i="16"/>
  <c r="AG42" i="16"/>
  <c r="AG43" i="16"/>
  <c r="AG44" i="16"/>
  <c r="AG45" i="16"/>
  <c r="AG46" i="16"/>
  <c r="AG47" i="16"/>
  <c r="AG48" i="16"/>
  <c r="AG49" i="16"/>
  <c r="AG50" i="16"/>
  <c r="AG51" i="16"/>
  <c r="AG52" i="16"/>
  <c r="AG53" i="16"/>
  <c r="AG54" i="16"/>
  <c r="AG55" i="16"/>
  <c r="AG56" i="16"/>
  <c r="AG57" i="16"/>
  <c r="AG58" i="16"/>
  <c r="AG59" i="16"/>
  <c r="AG60" i="16"/>
  <c r="AG61" i="16"/>
  <c r="AG62" i="16"/>
  <c r="AG63" i="16"/>
  <c r="AG64" i="16"/>
  <c r="AG65" i="16"/>
  <c r="AG66" i="16"/>
  <c r="AG67" i="16"/>
  <c r="AG68" i="16"/>
  <c r="AG69" i="16"/>
  <c r="AG70" i="16"/>
  <c r="AG71" i="16"/>
  <c r="AG72" i="16"/>
  <c r="AG73" i="16"/>
  <c r="AG74" i="16"/>
  <c r="AG75" i="16"/>
  <c r="AG76" i="16"/>
  <c r="AG77" i="16"/>
  <c r="AG78" i="16"/>
  <c r="AG79" i="16"/>
  <c r="AG80" i="16"/>
  <c r="AG81" i="16"/>
  <c r="AG82" i="16"/>
  <c r="AG83" i="16"/>
  <c r="AG84" i="16"/>
  <c r="AG85" i="16"/>
  <c r="AG86" i="16"/>
  <c r="AG87" i="16"/>
  <c r="AG88" i="16"/>
  <c r="AG89" i="16"/>
  <c r="AG90" i="16"/>
  <c r="AG91" i="16"/>
  <c r="AG92" i="16"/>
  <c r="AG93" i="16"/>
  <c r="AG94" i="16"/>
  <c r="AG95" i="16"/>
  <c r="AG96" i="16"/>
  <c r="AG97" i="16"/>
  <c r="AG98" i="16"/>
  <c r="AG99" i="16"/>
  <c r="AG100" i="16"/>
  <c r="AG101" i="16"/>
  <c r="AG102" i="16"/>
  <c r="AG103" i="16"/>
  <c r="AG104" i="16"/>
  <c r="AG105" i="16"/>
  <c r="AG106" i="16"/>
  <c r="AG107" i="16"/>
  <c r="AG108" i="16"/>
  <c r="AG109" i="16"/>
  <c r="AG110" i="16"/>
  <c r="AG111" i="16"/>
  <c r="AG112" i="16"/>
  <c r="AG113" i="16"/>
  <c r="AG114" i="16"/>
  <c r="AG115" i="16"/>
  <c r="AG116" i="16"/>
  <c r="AG117" i="16"/>
  <c r="AG118" i="16"/>
  <c r="AG119" i="16"/>
  <c r="AG120" i="16"/>
  <c r="AG121" i="16"/>
  <c r="AG122" i="16"/>
  <c r="AG123" i="16"/>
  <c r="AG124" i="16"/>
  <c r="AG125" i="16"/>
  <c r="AG126" i="16"/>
  <c r="AG127" i="16"/>
  <c r="AG128" i="16"/>
  <c r="AG129" i="16"/>
  <c r="AG130" i="16"/>
  <c r="AG131" i="16"/>
  <c r="AG132" i="16"/>
  <c r="AG133" i="16"/>
  <c r="AG134" i="16"/>
  <c r="AG135" i="16"/>
  <c r="AG136" i="16"/>
  <c r="AG137" i="16"/>
  <c r="AG138" i="16"/>
  <c r="AG139" i="16"/>
  <c r="AG140" i="16"/>
  <c r="AG141" i="16"/>
  <c r="AG142" i="16"/>
  <c r="AG143" i="16"/>
  <c r="AG144" i="16"/>
  <c r="AG145" i="16"/>
  <c r="AG146" i="16"/>
  <c r="AG147" i="16"/>
  <c r="AG148" i="16"/>
  <c r="AG149" i="16"/>
  <c r="AG150" i="16"/>
  <c r="AG151" i="16"/>
  <c r="AG152" i="16"/>
  <c r="AG153" i="16"/>
  <c r="AG154" i="16"/>
  <c r="AG155" i="16"/>
  <c r="AG25" i="16"/>
  <c r="AF26" i="16"/>
  <c r="AF27" i="16"/>
  <c r="AF28" i="16"/>
  <c r="AF29" i="16"/>
  <c r="AF30" i="16"/>
  <c r="AF31" i="16"/>
  <c r="AF32" i="16"/>
  <c r="AF33" i="16"/>
  <c r="AF34" i="16"/>
  <c r="AF35" i="16"/>
  <c r="AF36" i="16"/>
  <c r="AF37" i="16"/>
  <c r="AF38" i="16"/>
  <c r="AF39" i="16"/>
  <c r="AF40" i="16"/>
  <c r="AF41" i="16"/>
  <c r="AF42" i="16"/>
  <c r="AF43" i="16"/>
  <c r="AF44" i="16"/>
  <c r="AF45" i="16"/>
  <c r="AF46" i="16"/>
  <c r="AF47" i="16"/>
  <c r="AF48" i="16"/>
  <c r="AF49" i="16"/>
  <c r="AF50" i="16"/>
  <c r="AF51" i="16"/>
  <c r="AF52" i="16"/>
  <c r="AF53" i="16"/>
  <c r="AF54" i="16"/>
  <c r="AF55" i="16"/>
  <c r="AF56" i="16"/>
  <c r="AF57" i="16"/>
  <c r="AF58" i="16"/>
  <c r="AF59" i="16"/>
  <c r="AF60" i="16"/>
  <c r="AF61" i="16"/>
  <c r="AF62" i="16"/>
  <c r="AF63" i="16"/>
  <c r="AF64" i="16"/>
  <c r="AF65" i="16"/>
  <c r="AF66" i="16"/>
  <c r="AF67" i="16"/>
  <c r="AF68" i="16"/>
  <c r="AF69" i="16"/>
  <c r="AF70" i="16"/>
  <c r="AF71" i="16"/>
  <c r="AF72" i="16"/>
  <c r="AF73" i="16"/>
  <c r="AF74" i="16"/>
  <c r="AF75" i="16"/>
  <c r="AF76" i="16"/>
  <c r="AF77" i="16"/>
  <c r="AF78" i="16"/>
  <c r="AF79" i="16"/>
  <c r="AF80" i="16"/>
  <c r="AF81" i="16"/>
  <c r="AF82" i="16"/>
  <c r="AF83" i="16"/>
  <c r="AF84" i="16"/>
  <c r="AF85" i="16"/>
  <c r="AF86" i="16"/>
  <c r="AF87" i="16"/>
  <c r="AF88" i="16"/>
  <c r="AF89" i="16"/>
  <c r="AF90" i="16"/>
  <c r="AF91" i="16"/>
  <c r="AF92" i="16"/>
  <c r="AF93" i="16"/>
  <c r="AF94" i="16"/>
  <c r="AF95" i="16"/>
  <c r="AF96" i="16"/>
  <c r="AF97" i="16"/>
  <c r="AF98" i="16"/>
  <c r="AF99" i="16"/>
  <c r="AF100" i="16"/>
  <c r="AF101" i="16"/>
  <c r="AF102" i="16"/>
  <c r="AF103" i="16"/>
  <c r="AF104" i="16"/>
  <c r="AF105" i="16"/>
  <c r="AF106" i="16"/>
  <c r="AF107" i="16"/>
  <c r="AF108" i="16"/>
  <c r="AF109" i="16"/>
  <c r="AF110" i="16"/>
  <c r="AF111" i="16"/>
  <c r="AF112" i="16"/>
  <c r="AF113" i="16"/>
  <c r="AF114" i="16"/>
  <c r="AF115" i="16"/>
  <c r="AF116" i="16"/>
  <c r="AF117" i="16"/>
  <c r="AF118" i="16"/>
  <c r="AF119" i="16"/>
  <c r="AF120" i="16"/>
  <c r="AF121" i="16"/>
  <c r="AF122" i="16"/>
  <c r="AF123" i="16"/>
  <c r="AF124" i="16"/>
  <c r="AF125" i="16"/>
  <c r="AF126" i="16"/>
  <c r="AF127" i="16"/>
  <c r="AF128" i="16"/>
  <c r="AF129" i="16"/>
  <c r="AF130" i="16"/>
  <c r="AF131" i="16"/>
  <c r="AF132" i="16"/>
  <c r="AF133" i="16"/>
  <c r="AF134" i="16"/>
  <c r="AF135" i="16"/>
  <c r="AF136" i="16"/>
  <c r="AF137" i="16"/>
  <c r="AF138" i="16"/>
  <c r="AF139" i="16"/>
  <c r="AF140" i="16"/>
  <c r="AF141" i="16"/>
  <c r="AF142" i="16"/>
  <c r="AF143" i="16"/>
  <c r="AF144" i="16"/>
  <c r="AF145" i="16"/>
  <c r="AF146" i="16"/>
  <c r="AF147" i="16"/>
  <c r="AF148" i="16"/>
  <c r="AF149" i="16"/>
  <c r="AF150" i="16"/>
  <c r="AF151" i="16"/>
  <c r="AF152" i="16"/>
  <c r="AF153" i="16"/>
  <c r="AF154" i="16"/>
  <c r="AF155" i="16"/>
  <c r="AF156" i="16"/>
  <c r="AG156" i="16" s="1"/>
  <c r="AH25" i="16" s="1"/>
  <c r="AI25" i="16" s="1"/>
  <c r="AF25" i="16"/>
  <c r="AD26" i="16"/>
  <c r="AD27" i="16"/>
  <c r="AD28" i="16"/>
  <c r="AD29" i="16"/>
  <c r="AD30" i="16"/>
  <c r="AD31" i="16"/>
  <c r="AD32" i="16"/>
  <c r="AD33" i="16"/>
  <c r="AD34" i="16"/>
  <c r="AD35" i="16"/>
  <c r="AD36" i="16"/>
  <c r="AD37" i="16"/>
  <c r="AD38" i="16"/>
  <c r="AD39" i="16"/>
  <c r="AD40" i="16"/>
  <c r="AD41" i="16"/>
  <c r="AD42" i="16"/>
  <c r="AD43" i="16"/>
  <c r="AD44" i="16"/>
  <c r="AD45" i="16"/>
  <c r="AD46" i="16"/>
  <c r="AD47" i="16"/>
  <c r="AD48" i="16"/>
  <c r="AD49" i="16"/>
  <c r="AD50" i="16"/>
  <c r="AD51" i="16"/>
  <c r="AD52" i="16"/>
  <c r="AD53" i="16"/>
  <c r="AD54" i="16"/>
  <c r="AD55" i="16"/>
  <c r="AD56" i="16"/>
  <c r="AD57" i="16"/>
  <c r="AD58" i="16"/>
  <c r="AD59" i="16"/>
  <c r="AD60" i="16"/>
  <c r="AD61" i="16"/>
  <c r="AD62" i="16"/>
  <c r="AD63" i="16"/>
  <c r="AD64" i="16"/>
  <c r="AD65" i="16"/>
  <c r="AD66" i="16"/>
  <c r="AD67" i="16"/>
  <c r="AD68" i="16"/>
  <c r="AD69" i="16"/>
  <c r="AD70" i="16"/>
  <c r="AD71" i="16"/>
  <c r="AD72" i="16"/>
  <c r="AD73" i="16"/>
  <c r="AD74" i="16"/>
  <c r="AD75" i="16"/>
  <c r="AD76" i="16"/>
  <c r="AD77" i="16"/>
  <c r="AD78" i="16"/>
  <c r="AD79" i="16"/>
  <c r="AD80" i="16"/>
  <c r="AD81" i="16"/>
  <c r="AD82" i="16"/>
  <c r="AD83" i="16"/>
  <c r="AD84" i="16"/>
  <c r="AD85" i="16"/>
  <c r="AD86" i="16"/>
  <c r="AD87" i="16"/>
  <c r="AD88" i="16"/>
  <c r="AD89" i="16"/>
  <c r="AD90" i="16"/>
  <c r="AD91" i="16"/>
  <c r="AD92" i="16"/>
  <c r="AD93" i="16"/>
  <c r="AD94" i="16"/>
  <c r="AD95" i="16"/>
  <c r="AD96" i="16"/>
  <c r="AD97" i="16"/>
  <c r="AD98" i="16"/>
  <c r="AD99" i="16"/>
  <c r="AD100" i="16"/>
  <c r="AD101" i="16"/>
  <c r="AD102" i="16"/>
  <c r="AD103" i="16"/>
  <c r="AD104" i="16"/>
  <c r="AD105" i="16"/>
  <c r="AD106" i="16"/>
  <c r="AD107" i="16"/>
  <c r="AD108" i="16"/>
  <c r="AD109" i="16"/>
  <c r="AD110" i="16"/>
  <c r="AD111" i="16"/>
  <c r="AD112" i="16"/>
  <c r="AD113" i="16"/>
  <c r="AD114" i="16"/>
  <c r="AD115" i="16"/>
  <c r="AD116" i="16"/>
  <c r="AD117" i="16"/>
  <c r="AD118" i="16"/>
  <c r="AD119" i="16"/>
  <c r="AD120" i="16"/>
  <c r="AD121" i="16"/>
  <c r="AD122" i="16"/>
  <c r="AD123" i="16"/>
  <c r="AD124" i="16"/>
  <c r="AD125" i="16"/>
  <c r="AD126" i="16"/>
  <c r="AD127" i="16"/>
  <c r="AD128" i="16"/>
  <c r="AD129" i="16"/>
  <c r="AD130" i="16"/>
  <c r="AD131" i="16"/>
  <c r="AD132" i="16"/>
  <c r="AD133" i="16"/>
  <c r="AD134" i="16"/>
  <c r="AD135" i="16"/>
  <c r="AD136" i="16"/>
  <c r="AD137" i="16"/>
  <c r="AD138" i="16"/>
  <c r="AD139" i="16"/>
  <c r="AD140" i="16"/>
  <c r="AD141" i="16"/>
  <c r="AD142" i="16"/>
  <c r="AD143" i="16"/>
  <c r="AD144" i="16"/>
  <c r="AD146" i="16"/>
  <c r="AD147" i="16"/>
  <c r="AD148" i="16"/>
  <c r="AD149" i="16"/>
  <c r="AD150" i="16"/>
  <c r="AD151" i="16"/>
  <c r="AD152" i="16"/>
  <c r="AD153" i="16"/>
  <c r="AD154" i="16"/>
  <c r="AD155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47" i="2" l="1"/>
  <c r="G140" i="2" l="1"/>
  <c r="G142" i="2"/>
  <c r="K138" i="2" l="1"/>
  <c r="I5" i="13" l="1"/>
  <c r="G12" i="13" s="1"/>
  <c r="G8" i="13"/>
  <c r="H5" i="13"/>
  <c r="K15" i="8" l="1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4" i="8"/>
  <c r="D132" i="8"/>
  <c r="D15" i="8"/>
  <c r="E15" i="8" s="1"/>
  <c r="D16" i="8"/>
  <c r="E16" i="8" s="1"/>
  <c r="D17" i="8"/>
  <c r="D18" i="8"/>
  <c r="D19" i="8"/>
  <c r="E19" i="8" s="1"/>
  <c r="D20" i="8"/>
  <c r="D21" i="8"/>
  <c r="D22" i="8"/>
  <c r="E22" i="8" s="1"/>
  <c r="D23" i="8"/>
  <c r="E23" i="8" s="1"/>
  <c r="D24" i="8"/>
  <c r="E24" i="8" s="1"/>
  <c r="D25" i="8"/>
  <c r="D26" i="8"/>
  <c r="D27" i="8"/>
  <c r="E27" i="8" s="1"/>
  <c r="D28" i="8"/>
  <c r="E28" i="8" s="1"/>
  <c r="D29" i="8"/>
  <c r="D30" i="8"/>
  <c r="D31" i="8"/>
  <c r="E31" i="8" s="1"/>
  <c r="D32" i="8"/>
  <c r="D33" i="8"/>
  <c r="D34" i="8"/>
  <c r="D35" i="8"/>
  <c r="E35" i="8" s="1"/>
  <c r="D36" i="8"/>
  <c r="E36" i="8" s="1"/>
  <c r="D37" i="8"/>
  <c r="E37" i="8" s="1"/>
  <c r="D38" i="8"/>
  <c r="D39" i="8"/>
  <c r="E39" i="8" s="1"/>
  <c r="D40" i="8"/>
  <c r="E40" i="8" s="1"/>
  <c r="D41" i="8"/>
  <c r="D42" i="8"/>
  <c r="D43" i="8"/>
  <c r="E43" i="8" s="1"/>
  <c r="D44" i="8"/>
  <c r="E44" i="8" s="1"/>
  <c r="D45" i="8"/>
  <c r="E45" i="8" s="1"/>
  <c r="D46" i="8"/>
  <c r="E46" i="8" s="1"/>
  <c r="D47" i="8"/>
  <c r="E47" i="8" s="1"/>
  <c r="D48" i="8"/>
  <c r="E48" i="8" s="1"/>
  <c r="D49" i="8"/>
  <c r="D50" i="8"/>
  <c r="E50" i="8" s="1"/>
  <c r="D51" i="8"/>
  <c r="E51" i="8" s="1"/>
  <c r="D52" i="8"/>
  <c r="E52" i="8" s="1"/>
  <c r="D53" i="8"/>
  <c r="D54" i="8"/>
  <c r="D55" i="8"/>
  <c r="E55" i="8" s="1"/>
  <c r="D56" i="8"/>
  <c r="E56" i="8" s="1"/>
  <c r="D57" i="8"/>
  <c r="D58" i="8"/>
  <c r="E58" i="8" s="1"/>
  <c r="D59" i="8"/>
  <c r="E59" i="8" s="1"/>
  <c r="D60" i="8"/>
  <c r="E60" i="8" s="1"/>
  <c r="D61" i="8"/>
  <c r="D62" i="8"/>
  <c r="D63" i="8"/>
  <c r="E63" i="8" s="1"/>
  <c r="D64" i="8"/>
  <c r="D65" i="8"/>
  <c r="D66" i="8"/>
  <c r="E66" i="8" s="1"/>
  <c r="D67" i="8"/>
  <c r="E67" i="8" s="1"/>
  <c r="D68" i="8"/>
  <c r="E68" i="8" s="1"/>
  <c r="D69" i="8"/>
  <c r="E69" i="8" s="1"/>
  <c r="D70" i="8"/>
  <c r="D71" i="8"/>
  <c r="E71" i="8" s="1"/>
  <c r="D72" i="8"/>
  <c r="E72" i="8" s="1"/>
  <c r="D73" i="8"/>
  <c r="D74" i="8"/>
  <c r="D75" i="8"/>
  <c r="E75" i="8" s="1"/>
  <c r="D76" i="8"/>
  <c r="E76" i="8" s="1"/>
  <c r="D77" i="8"/>
  <c r="E77" i="8" s="1"/>
  <c r="D78" i="8"/>
  <c r="D79" i="8"/>
  <c r="E79" i="8" s="1"/>
  <c r="D80" i="8"/>
  <c r="E80" i="8" s="1"/>
  <c r="D81" i="8"/>
  <c r="D82" i="8"/>
  <c r="E82" i="8" s="1"/>
  <c r="D83" i="8"/>
  <c r="E83" i="8" s="1"/>
  <c r="D84" i="8"/>
  <c r="D85" i="8"/>
  <c r="D86" i="8"/>
  <c r="D87" i="8"/>
  <c r="E87" i="8" s="1"/>
  <c r="D88" i="8"/>
  <c r="E88" i="8" s="1"/>
  <c r="D89" i="8"/>
  <c r="D90" i="8"/>
  <c r="D91" i="8"/>
  <c r="E91" i="8" s="1"/>
  <c r="D92" i="8"/>
  <c r="D93" i="8"/>
  <c r="D94" i="8"/>
  <c r="D95" i="8"/>
  <c r="E95" i="8" s="1"/>
  <c r="D96" i="8"/>
  <c r="E96" i="8" s="1"/>
  <c r="D97" i="8"/>
  <c r="E97" i="8" s="1"/>
  <c r="D98" i="8"/>
  <c r="E98" i="8" s="1"/>
  <c r="D99" i="8"/>
  <c r="E99" i="8" s="1"/>
  <c r="D100" i="8"/>
  <c r="D101" i="8"/>
  <c r="E101" i="8" s="1"/>
  <c r="D102" i="8"/>
  <c r="D103" i="8"/>
  <c r="D104" i="8"/>
  <c r="E104" i="8" s="1"/>
  <c r="D105" i="8"/>
  <c r="D106" i="8"/>
  <c r="D107" i="8"/>
  <c r="D108" i="8"/>
  <c r="E108" i="8" s="1"/>
  <c r="D109" i="8"/>
  <c r="D110" i="8"/>
  <c r="D111" i="8"/>
  <c r="E111" i="8" s="1"/>
  <c r="D112" i="8"/>
  <c r="D113" i="8"/>
  <c r="E113" i="8" s="1"/>
  <c r="D114" i="8"/>
  <c r="D115" i="8"/>
  <c r="J115" i="8" s="1"/>
  <c r="D116" i="8"/>
  <c r="E116" i="8" s="1"/>
  <c r="D117" i="8"/>
  <c r="D118" i="8"/>
  <c r="D119" i="8"/>
  <c r="E119" i="8" s="1"/>
  <c r="G119" i="8" s="1"/>
  <c r="D120" i="8"/>
  <c r="E120" i="8" s="1"/>
  <c r="D121" i="8"/>
  <c r="D122" i="8"/>
  <c r="D123" i="8"/>
  <c r="E123" i="8" s="1"/>
  <c r="D124" i="8"/>
  <c r="E124" i="8" s="1"/>
  <c r="D125" i="8"/>
  <c r="D126" i="8"/>
  <c r="D127" i="8"/>
  <c r="D128" i="8"/>
  <c r="D129" i="8"/>
  <c r="D130" i="8"/>
  <c r="E130" i="8" s="1"/>
  <c r="D131" i="8"/>
  <c r="J131" i="8" s="1"/>
  <c r="D133" i="8"/>
  <c r="E133" i="8" s="1"/>
  <c r="D14" i="8"/>
  <c r="J16" i="8"/>
  <c r="J22" i="8"/>
  <c r="J36" i="8"/>
  <c r="J46" i="8"/>
  <c r="J48" i="8"/>
  <c r="J52" i="8"/>
  <c r="J58" i="8"/>
  <c r="J78" i="8"/>
  <c r="J80" i="8"/>
  <c r="G87" i="8"/>
  <c r="J98" i="8"/>
  <c r="J110" i="8"/>
  <c r="F111" i="8"/>
  <c r="H111" i="8" s="1"/>
  <c r="J126" i="8"/>
  <c r="J37" i="8"/>
  <c r="J41" i="8"/>
  <c r="J45" i="8"/>
  <c r="J69" i="8"/>
  <c r="J77" i="8"/>
  <c r="J101" i="8"/>
  <c r="J105" i="8"/>
  <c r="J111" i="8"/>
  <c r="G45" i="8"/>
  <c r="G46" i="8"/>
  <c r="F69" i="8"/>
  <c r="H69" i="8" s="1"/>
  <c r="G77" i="8"/>
  <c r="K24" i="1"/>
  <c r="J100" i="8" l="1"/>
  <c r="E100" i="8"/>
  <c r="J92" i="8"/>
  <c r="E92" i="8"/>
  <c r="J84" i="8"/>
  <c r="E84" i="8"/>
  <c r="J20" i="8"/>
  <c r="E20" i="8"/>
  <c r="E107" i="8"/>
  <c r="F107" i="8" s="1"/>
  <c r="H107" i="8" s="1"/>
  <c r="J133" i="8"/>
  <c r="J122" i="8"/>
  <c r="E122" i="8"/>
  <c r="F122" i="8" s="1"/>
  <c r="H122" i="8" s="1"/>
  <c r="J114" i="8"/>
  <c r="E114" i="8"/>
  <c r="J106" i="8"/>
  <c r="E106" i="8"/>
  <c r="F106" i="8" s="1"/>
  <c r="H106" i="8" s="1"/>
  <c r="J90" i="8"/>
  <c r="E90" i="8"/>
  <c r="J74" i="8"/>
  <c r="E74" i="8"/>
  <c r="J42" i="8"/>
  <c r="E42" i="8"/>
  <c r="J34" i="8"/>
  <c r="E34" i="8"/>
  <c r="G34" i="8" s="1"/>
  <c r="J26" i="8"/>
  <c r="E26" i="8"/>
  <c r="J18" i="8"/>
  <c r="E18" i="8"/>
  <c r="G18" i="8" s="1"/>
  <c r="J96" i="8"/>
  <c r="J129" i="8"/>
  <c r="E129" i="8"/>
  <c r="J121" i="8"/>
  <c r="E121" i="8"/>
  <c r="E105" i="8"/>
  <c r="G105" i="8" s="1"/>
  <c r="J89" i="8"/>
  <c r="E89" i="8"/>
  <c r="J81" i="8"/>
  <c r="E81" i="8"/>
  <c r="G73" i="8"/>
  <c r="E73" i="8"/>
  <c r="J65" i="8"/>
  <c r="E65" i="8"/>
  <c r="G65" i="8" s="1"/>
  <c r="J57" i="8"/>
  <c r="E57" i="8"/>
  <c r="J49" i="8"/>
  <c r="E49" i="8"/>
  <c r="F49" i="8" s="1"/>
  <c r="H49" i="8" s="1"/>
  <c r="G41" i="8"/>
  <c r="E41" i="8"/>
  <c r="J33" i="8"/>
  <c r="E33" i="8"/>
  <c r="G33" i="8" s="1"/>
  <c r="J25" i="8"/>
  <c r="E25" i="8"/>
  <c r="J17" i="8"/>
  <c r="E17" i="8"/>
  <c r="G17" i="8" s="1"/>
  <c r="E131" i="8"/>
  <c r="G131" i="8" s="1"/>
  <c r="J128" i="8"/>
  <c r="E128" i="8"/>
  <c r="J112" i="8"/>
  <c r="E112" i="8"/>
  <c r="J64" i="8"/>
  <c r="E64" i="8"/>
  <c r="J32" i="8"/>
  <c r="E32" i="8"/>
  <c r="J127" i="8"/>
  <c r="E127" i="8"/>
  <c r="F127" i="8" s="1"/>
  <c r="H127" i="8" s="1"/>
  <c r="G103" i="8"/>
  <c r="E103" i="8"/>
  <c r="G126" i="8"/>
  <c r="E126" i="8"/>
  <c r="J118" i="8"/>
  <c r="E118" i="8"/>
  <c r="G118" i="8" s="1"/>
  <c r="E110" i="8"/>
  <c r="G110" i="8" s="1"/>
  <c r="J102" i="8"/>
  <c r="E102" i="8"/>
  <c r="F102" i="8" s="1"/>
  <c r="H102" i="8" s="1"/>
  <c r="J94" i="8"/>
  <c r="E94" i="8"/>
  <c r="J86" i="8"/>
  <c r="E86" i="8"/>
  <c r="G86" i="8" s="1"/>
  <c r="E78" i="8"/>
  <c r="G78" i="8" s="1"/>
  <c r="J70" i="8"/>
  <c r="E70" i="8"/>
  <c r="F70" i="8" s="1"/>
  <c r="H70" i="8" s="1"/>
  <c r="J62" i="8"/>
  <c r="E62" i="8"/>
  <c r="G62" i="8" s="1"/>
  <c r="F54" i="8"/>
  <c r="H54" i="8" s="1"/>
  <c r="E54" i="8"/>
  <c r="J38" i="8"/>
  <c r="E38" i="8"/>
  <c r="G30" i="8"/>
  <c r="E30" i="8"/>
  <c r="J132" i="8"/>
  <c r="E132" i="8"/>
  <c r="G115" i="8"/>
  <c r="E115" i="8"/>
  <c r="J68" i="8"/>
  <c r="G14" i="8"/>
  <c r="E14" i="8"/>
  <c r="J125" i="8"/>
  <c r="E125" i="8"/>
  <c r="G125" i="8" s="1"/>
  <c r="F117" i="8"/>
  <c r="H117" i="8" s="1"/>
  <c r="E117" i="8"/>
  <c r="J109" i="8"/>
  <c r="E109" i="8"/>
  <c r="G109" i="8" s="1"/>
  <c r="J93" i="8"/>
  <c r="E93" i="8"/>
  <c r="G93" i="8" s="1"/>
  <c r="J85" i="8"/>
  <c r="E85" i="8"/>
  <c r="F85" i="8" s="1"/>
  <c r="H85" i="8" s="1"/>
  <c r="J61" i="8"/>
  <c r="E61" i="8"/>
  <c r="G61" i="8" s="1"/>
  <c r="J53" i="8"/>
  <c r="E53" i="8"/>
  <c r="J29" i="8"/>
  <c r="E29" i="8"/>
  <c r="E21" i="8"/>
  <c r="F21" i="8" s="1"/>
  <c r="H21" i="8" s="1"/>
  <c r="F123" i="8"/>
  <c r="G123" i="8"/>
  <c r="G22" i="8"/>
  <c r="F22" i="8"/>
  <c r="H22" i="8" s="1"/>
  <c r="G94" i="8"/>
  <c r="G38" i="8"/>
  <c r="F119" i="8"/>
  <c r="H119" i="8" s="1"/>
  <c r="F132" i="8"/>
  <c r="H132" i="8" s="1"/>
  <c r="F118" i="8"/>
  <c r="H118" i="8" s="1"/>
  <c r="G102" i="8"/>
  <c r="J30" i="8"/>
  <c r="F87" i="8"/>
  <c r="H87" i="8" s="1"/>
  <c r="J54" i="8"/>
  <c r="G70" i="8"/>
  <c r="F86" i="8"/>
  <c r="H86" i="8" s="1"/>
  <c r="J82" i="8"/>
  <c r="J14" i="8"/>
  <c r="G127" i="8"/>
  <c r="G130" i="8"/>
  <c r="F130" i="8"/>
  <c r="H130" i="8" s="1"/>
  <c r="G98" i="8"/>
  <c r="F98" i="8"/>
  <c r="H98" i="8" s="1"/>
  <c r="G82" i="8"/>
  <c r="F82" i="8"/>
  <c r="H82" i="8" s="1"/>
  <c r="G66" i="8"/>
  <c r="F66" i="8"/>
  <c r="H66" i="8" s="1"/>
  <c r="G50" i="8"/>
  <c r="F50" i="8"/>
  <c r="H50" i="8" s="1"/>
  <c r="G113" i="8"/>
  <c r="F113" i="8"/>
  <c r="H113" i="8" s="1"/>
  <c r="G97" i="8"/>
  <c r="F97" i="8"/>
  <c r="H97" i="8" s="1"/>
  <c r="F58" i="8"/>
  <c r="H58" i="8" s="1"/>
  <c r="G58" i="8"/>
  <c r="F133" i="8"/>
  <c r="H133" i="8" s="1"/>
  <c r="G133" i="8"/>
  <c r="F101" i="8"/>
  <c r="H101" i="8" s="1"/>
  <c r="G101" i="8"/>
  <c r="F37" i="8"/>
  <c r="H37" i="8" s="1"/>
  <c r="G37" i="8"/>
  <c r="F77" i="8"/>
  <c r="H77" i="8" s="1"/>
  <c r="J73" i="8"/>
  <c r="F74" i="8"/>
  <c r="H74" i="8" s="1"/>
  <c r="F45" i="8"/>
  <c r="H45" i="8" s="1"/>
  <c r="F17" i="8"/>
  <c r="H17" i="8" s="1"/>
  <c r="G54" i="8"/>
  <c r="J97" i="8"/>
  <c r="F42" i="8"/>
  <c r="H42" i="8" s="1"/>
  <c r="F115" i="8"/>
  <c r="H115" i="8" s="1"/>
  <c r="F93" i="8"/>
  <c r="H93" i="8" s="1"/>
  <c r="F38" i="8"/>
  <c r="H38" i="8" s="1"/>
  <c r="G122" i="8"/>
  <c r="G49" i="8"/>
  <c r="J117" i="8"/>
  <c r="J130" i="8"/>
  <c r="F131" i="8"/>
  <c r="H131" i="8" s="1"/>
  <c r="F65" i="8"/>
  <c r="H65" i="8" s="1"/>
  <c r="F34" i="8"/>
  <c r="H34" i="8" s="1"/>
  <c r="J50" i="8"/>
  <c r="F61" i="8"/>
  <c r="H61" i="8" s="1"/>
  <c r="F33" i="8"/>
  <c r="H33" i="8" s="1"/>
  <c r="J113" i="8"/>
  <c r="F53" i="8"/>
  <c r="H53" i="8" s="1"/>
  <c r="F109" i="8"/>
  <c r="H109" i="8" s="1"/>
  <c r="G111" i="8"/>
  <c r="J21" i="8"/>
  <c r="J66" i="8"/>
  <c r="F125" i="8"/>
  <c r="H125" i="8" s="1"/>
  <c r="F103" i="8"/>
  <c r="H103" i="8" s="1"/>
  <c r="G107" i="8"/>
  <c r="G69" i="8"/>
  <c r="F18" i="8"/>
  <c r="H18" i="8" s="1"/>
  <c r="F116" i="8"/>
  <c r="H116" i="8" s="1"/>
  <c r="G116" i="8"/>
  <c r="F100" i="8"/>
  <c r="H100" i="8" s="1"/>
  <c r="G100" i="8"/>
  <c r="F36" i="8"/>
  <c r="H36" i="8" s="1"/>
  <c r="G36" i="8"/>
  <c r="G120" i="8"/>
  <c r="F120" i="8"/>
  <c r="H120" i="8" s="1"/>
  <c r="G104" i="8"/>
  <c r="F104" i="8"/>
  <c r="H104" i="8" s="1"/>
  <c r="J88" i="8"/>
  <c r="J72" i="8"/>
  <c r="J56" i="8"/>
  <c r="J40" i="8"/>
  <c r="J24" i="8"/>
  <c r="J116" i="8"/>
  <c r="G106" i="8"/>
  <c r="G85" i="8"/>
  <c r="G21" i="8"/>
  <c r="F126" i="8"/>
  <c r="H126" i="8" s="1"/>
  <c r="F110" i="8"/>
  <c r="H110" i="8" s="1"/>
  <c r="F94" i="8"/>
  <c r="H94" i="8" s="1"/>
  <c r="F78" i="8"/>
  <c r="H78" i="8" s="1"/>
  <c r="F62" i="8"/>
  <c r="H62" i="8" s="1"/>
  <c r="F46" i="8"/>
  <c r="H46" i="8" s="1"/>
  <c r="F30" i="8"/>
  <c r="H30" i="8" s="1"/>
  <c r="F14" i="8"/>
  <c r="H14" i="8" s="1"/>
  <c r="F68" i="8"/>
  <c r="H68" i="8" s="1"/>
  <c r="G68" i="8"/>
  <c r="J124" i="8"/>
  <c r="J108" i="8"/>
  <c r="F92" i="8"/>
  <c r="H92" i="8" s="1"/>
  <c r="G92" i="8"/>
  <c r="J76" i="8"/>
  <c r="J60" i="8"/>
  <c r="J44" i="8"/>
  <c r="J28" i="8"/>
  <c r="F105" i="8"/>
  <c r="H105" i="8" s="1"/>
  <c r="F73" i="8"/>
  <c r="H73" i="8" s="1"/>
  <c r="F41" i="8"/>
  <c r="H41" i="8" s="1"/>
  <c r="G117" i="8"/>
  <c r="J120" i="8"/>
  <c r="J104" i="8"/>
  <c r="J95" i="8"/>
  <c r="J79" i="8"/>
  <c r="J71" i="8"/>
  <c r="J63" i="8"/>
  <c r="J55" i="8"/>
  <c r="J47" i="8"/>
  <c r="J39" i="8"/>
  <c r="J31" i="8"/>
  <c r="J23" i="8"/>
  <c r="J15" i="8"/>
  <c r="J103" i="8"/>
  <c r="J123" i="8"/>
  <c r="J87" i="8"/>
  <c r="J99" i="8"/>
  <c r="J91" i="8"/>
  <c r="J83" i="8"/>
  <c r="J75" i="8"/>
  <c r="J67" i="8"/>
  <c r="J59" i="8"/>
  <c r="J51" i="8"/>
  <c r="J43" i="8"/>
  <c r="J35" i="8"/>
  <c r="J27" i="8"/>
  <c r="J19" i="8"/>
  <c r="J119" i="8"/>
  <c r="J107" i="8"/>
  <c r="B148" i="2"/>
  <c r="G145" i="2"/>
  <c r="J136" i="8" l="1"/>
  <c r="H123" i="8"/>
  <c r="G53" i="8"/>
  <c r="G132" i="8"/>
  <c r="F81" i="8"/>
  <c r="H81" i="8" s="1"/>
  <c r="G81" i="8"/>
  <c r="F26" i="8"/>
  <c r="H26" i="8" s="1"/>
  <c r="G26" i="8"/>
  <c r="G57" i="8"/>
  <c r="F57" i="8"/>
  <c r="H57" i="8" s="1"/>
  <c r="G29" i="8"/>
  <c r="F29" i="8"/>
  <c r="H29" i="8" s="1"/>
  <c r="F90" i="8"/>
  <c r="H90" i="8" s="1"/>
  <c r="G90" i="8"/>
  <c r="G74" i="8"/>
  <c r="G25" i="8"/>
  <c r="F25" i="8"/>
  <c r="H25" i="8" s="1"/>
  <c r="G121" i="8"/>
  <c r="F121" i="8"/>
  <c r="H121" i="8" s="1"/>
  <c r="G114" i="8"/>
  <c r="F114" i="8"/>
  <c r="H114" i="8" s="1"/>
  <c r="G89" i="8"/>
  <c r="F89" i="8"/>
  <c r="H89" i="8" s="1"/>
  <c r="G129" i="8"/>
  <c r="F129" i="8"/>
  <c r="H129" i="8" s="1"/>
  <c r="G42" i="8"/>
  <c r="G128" i="8"/>
  <c r="F128" i="8"/>
  <c r="H128" i="8" s="1"/>
  <c r="G16" i="8"/>
  <c r="F16" i="8"/>
  <c r="H16" i="8" s="1"/>
  <c r="G19" i="8"/>
  <c r="F19" i="8"/>
  <c r="H19" i="8" s="1"/>
  <c r="G51" i="8"/>
  <c r="F51" i="8"/>
  <c r="H51" i="8" s="1"/>
  <c r="G83" i="8"/>
  <c r="F83" i="8"/>
  <c r="H83" i="8" s="1"/>
  <c r="F15" i="8"/>
  <c r="H15" i="8" s="1"/>
  <c r="G15" i="8"/>
  <c r="F47" i="8"/>
  <c r="H47" i="8" s="1"/>
  <c r="G47" i="8"/>
  <c r="F79" i="8"/>
  <c r="H79" i="8" s="1"/>
  <c r="G79" i="8"/>
  <c r="G80" i="8"/>
  <c r="F80" i="8"/>
  <c r="H80" i="8" s="1"/>
  <c r="F76" i="8"/>
  <c r="H76" i="8" s="1"/>
  <c r="G76" i="8"/>
  <c r="F59" i="8"/>
  <c r="H59" i="8" s="1"/>
  <c r="G59" i="8"/>
  <c r="F20" i="8"/>
  <c r="H20" i="8" s="1"/>
  <c r="G20" i="8"/>
  <c r="G40" i="8"/>
  <c r="F40" i="8"/>
  <c r="H40" i="8" s="1"/>
  <c r="F27" i="8"/>
  <c r="H27" i="8" s="1"/>
  <c r="G27" i="8"/>
  <c r="F91" i="8"/>
  <c r="H91" i="8" s="1"/>
  <c r="G91" i="8"/>
  <c r="G23" i="8"/>
  <c r="F23" i="8"/>
  <c r="H23" i="8" s="1"/>
  <c r="G55" i="8"/>
  <c r="F55" i="8"/>
  <c r="H55" i="8" s="1"/>
  <c r="F95" i="8"/>
  <c r="H95" i="8" s="1"/>
  <c r="G95" i="8"/>
  <c r="F28" i="8"/>
  <c r="H28" i="8" s="1"/>
  <c r="G28" i="8"/>
  <c r="F84" i="8"/>
  <c r="H84" i="8" s="1"/>
  <c r="G84" i="8"/>
  <c r="G56" i="8"/>
  <c r="F56" i="8"/>
  <c r="H56" i="8" s="1"/>
  <c r="F52" i="8"/>
  <c r="H52" i="8" s="1"/>
  <c r="G52" i="8"/>
  <c r="F108" i="8"/>
  <c r="H108" i="8" s="1"/>
  <c r="G108" i="8"/>
  <c r="G32" i="8"/>
  <c r="F32" i="8"/>
  <c r="H32" i="8" s="1"/>
  <c r="G35" i="8"/>
  <c r="F35" i="8"/>
  <c r="H35" i="8" s="1"/>
  <c r="G67" i="8"/>
  <c r="F67" i="8"/>
  <c r="H67" i="8" s="1"/>
  <c r="G99" i="8"/>
  <c r="F99" i="8"/>
  <c r="H99" i="8" s="1"/>
  <c r="F31" i="8"/>
  <c r="H31" i="8" s="1"/>
  <c r="G31" i="8"/>
  <c r="F63" i="8"/>
  <c r="H63" i="8" s="1"/>
  <c r="G63" i="8"/>
  <c r="F44" i="8"/>
  <c r="H44" i="8" s="1"/>
  <c r="G44" i="8"/>
  <c r="G96" i="8"/>
  <c r="F96" i="8"/>
  <c r="H96" i="8" s="1"/>
  <c r="G48" i="8"/>
  <c r="F48" i="8"/>
  <c r="H48" i="8" s="1"/>
  <c r="G112" i="8"/>
  <c r="F112" i="8"/>
  <c r="H112" i="8" s="1"/>
  <c r="G72" i="8"/>
  <c r="F72" i="8"/>
  <c r="H72" i="8" s="1"/>
  <c r="F43" i="8"/>
  <c r="H43" i="8" s="1"/>
  <c r="G43" i="8"/>
  <c r="F75" i="8"/>
  <c r="H75" i="8" s="1"/>
  <c r="G75" i="8"/>
  <c r="G39" i="8"/>
  <c r="F39" i="8"/>
  <c r="H39" i="8" s="1"/>
  <c r="G71" i="8"/>
  <c r="F71" i="8"/>
  <c r="H71" i="8" s="1"/>
  <c r="G64" i="8"/>
  <c r="F64" i="8"/>
  <c r="H64" i="8" s="1"/>
  <c r="F60" i="8"/>
  <c r="H60" i="8" s="1"/>
  <c r="G60" i="8"/>
  <c r="F124" i="8"/>
  <c r="H124" i="8" s="1"/>
  <c r="G124" i="8"/>
  <c r="G136" i="8" s="1"/>
  <c r="G24" i="8"/>
  <c r="F24" i="8"/>
  <c r="H24" i="8" s="1"/>
  <c r="G88" i="8"/>
  <c r="F88" i="8"/>
  <c r="H88" i="8" s="1"/>
  <c r="B154" i="2"/>
  <c r="F136" i="8" l="1"/>
  <c r="H136" i="8"/>
  <c r="C134" i="2"/>
  <c r="E133" i="2"/>
  <c r="E25" i="2"/>
  <c r="E37" i="2"/>
  <c r="E49" i="2"/>
  <c r="E61" i="2"/>
  <c r="E73" i="2"/>
  <c r="E85" i="2"/>
  <c r="E97" i="2"/>
  <c r="E109" i="2"/>
  <c r="E121" i="2"/>
  <c r="E13" i="2"/>
  <c r="P6" i="1"/>
  <c r="P3" i="1"/>
  <c r="P4" i="1"/>
  <c r="P5" i="1"/>
  <c r="P7" i="1"/>
  <c r="P8" i="1"/>
  <c r="P9" i="1"/>
  <c r="P10" i="1"/>
  <c r="P11" i="1"/>
  <c r="P12" i="1"/>
  <c r="P2" i="1"/>
  <c r="C14" i="1"/>
  <c r="D14" i="1"/>
  <c r="E14" i="1"/>
  <c r="F14" i="1"/>
  <c r="G14" i="1"/>
  <c r="H14" i="1"/>
  <c r="I14" i="1"/>
  <c r="J14" i="1"/>
  <c r="K14" i="1"/>
  <c r="L14" i="1"/>
  <c r="M14" i="1"/>
  <c r="B14" i="1"/>
  <c r="G143" i="2" l="1"/>
  <c r="F54" i="2"/>
  <c r="F38" i="2"/>
  <c r="F22" i="2"/>
  <c r="F6" i="2"/>
  <c r="F127" i="2"/>
  <c r="F70" i="2" l="1"/>
  <c r="F102" i="2"/>
  <c r="F7" i="2"/>
  <c r="F55" i="2"/>
  <c r="F71" i="2"/>
  <c r="F119" i="2"/>
  <c r="F10" i="2"/>
  <c r="F26" i="2"/>
  <c r="F42" i="2"/>
  <c r="F58" i="2"/>
  <c r="F74" i="2"/>
  <c r="F90" i="2"/>
  <c r="F106" i="2"/>
  <c r="F122" i="2"/>
  <c r="F11" i="2"/>
  <c r="F27" i="2"/>
  <c r="F43" i="2"/>
  <c r="F59" i="2"/>
  <c r="F75" i="2"/>
  <c r="F91" i="2"/>
  <c r="F107" i="2"/>
  <c r="F123" i="2"/>
  <c r="F86" i="2"/>
  <c r="F39" i="2"/>
  <c r="F87" i="2"/>
  <c r="F30" i="2"/>
  <c r="F47" i="2"/>
  <c r="AG16" i="2"/>
  <c r="F63" i="2"/>
  <c r="F2" i="2"/>
  <c r="F34" i="2"/>
  <c r="F50" i="2"/>
  <c r="F66" i="2"/>
  <c r="F82" i="2"/>
  <c r="F98" i="2"/>
  <c r="F114" i="2"/>
  <c r="F130" i="2"/>
  <c r="F118" i="2"/>
  <c r="F23" i="2"/>
  <c r="F103" i="2"/>
  <c r="F14" i="2"/>
  <c r="F46" i="2"/>
  <c r="F62" i="2"/>
  <c r="F78" i="2"/>
  <c r="F94" i="2"/>
  <c r="F110" i="2"/>
  <c r="F126" i="2"/>
  <c r="F15" i="2"/>
  <c r="F31" i="2"/>
  <c r="F79" i="2"/>
  <c r="F95" i="2"/>
  <c r="F111" i="2"/>
  <c r="F18" i="2"/>
  <c r="F3" i="2"/>
  <c r="F19" i="2"/>
  <c r="F35" i="2"/>
  <c r="F51" i="2"/>
  <c r="F67" i="2"/>
  <c r="F83" i="2"/>
  <c r="F99" i="2"/>
  <c r="F115" i="2"/>
  <c r="F131" i="2"/>
  <c r="F4" i="2"/>
  <c r="F8" i="2"/>
  <c r="F12" i="2"/>
  <c r="F16" i="2"/>
  <c r="F20" i="2"/>
  <c r="F24" i="2"/>
  <c r="F28" i="2"/>
  <c r="F32" i="2"/>
  <c r="F36" i="2"/>
  <c r="F40" i="2"/>
  <c r="F44" i="2"/>
  <c r="F48" i="2"/>
  <c r="F52" i="2"/>
  <c r="F56" i="2"/>
  <c r="F60" i="2"/>
  <c r="F64" i="2"/>
  <c r="F68" i="2"/>
  <c r="F72" i="2"/>
  <c r="F76" i="2"/>
  <c r="F80" i="2"/>
  <c r="F84" i="2"/>
  <c r="F88" i="2"/>
  <c r="F92" i="2"/>
  <c r="F96" i="2"/>
  <c r="F100" i="2"/>
  <c r="F104" i="2"/>
  <c r="F108" i="2"/>
  <c r="F112" i="2"/>
  <c r="F116" i="2"/>
  <c r="F120" i="2"/>
  <c r="F124" i="2"/>
  <c r="F128" i="2"/>
  <c r="F132" i="2"/>
  <c r="F5" i="2"/>
  <c r="F9" i="2"/>
  <c r="F13" i="2"/>
  <c r="F17" i="2"/>
  <c r="F21" i="2"/>
  <c r="F25" i="2"/>
  <c r="F29" i="2"/>
  <c r="F33" i="2"/>
  <c r="F37" i="2"/>
  <c r="F41" i="2"/>
  <c r="F45" i="2"/>
  <c r="F49" i="2"/>
  <c r="F53" i="2"/>
  <c r="F57" i="2"/>
  <c r="F61" i="2"/>
  <c r="F65" i="2"/>
  <c r="F69" i="2"/>
  <c r="F73" i="2"/>
  <c r="F77" i="2"/>
  <c r="F81" i="2"/>
  <c r="F85" i="2"/>
  <c r="F89" i="2"/>
  <c r="F93" i="2"/>
  <c r="F97" i="2"/>
  <c r="F101" i="2"/>
  <c r="F105" i="2"/>
  <c r="F109" i="2"/>
  <c r="F113" i="2"/>
  <c r="F117" i="2"/>
  <c r="F121" i="2"/>
  <c r="F125" i="2"/>
  <c r="F129" i="2"/>
  <c r="F133" i="2"/>
  <c r="G60" i="2"/>
  <c r="C2" i="3"/>
  <c r="C3" i="3" s="1"/>
  <c r="D3" i="3" s="1"/>
  <c r="C4" i="3"/>
  <c r="H14" i="2"/>
  <c r="H15" i="2"/>
  <c r="H16" i="2"/>
  <c r="J17" i="2" s="1"/>
  <c r="H17" i="2"/>
  <c r="J18" i="2" s="1"/>
  <c r="H18" i="2"/>
  <c r="J19" i="2" s="1"/>
  <c r="H19" i="2"/>
  <c r="H20" i="2"/>
  <c r="J21" i="2" s="1"/>
  <c r="H21" i="2"/>
  <c r="J22" i="2" s="1"/>
  <c r="H22" i="2"/>
  <c r="J23" i="2" s="1"/>
  <c r="H23" i="2"/>
  <c r="H24" i="2"/>
  <c r="J25" i="2" s="1"/>
  <c r="H25" i="2"/>
  <c r="J26" i="2" s="1"/>
  <c r="H26" i="2"/>
  <c r="H27" i="2"/>
  <c r="H28" i="2"/>
  <c r="J29" i="2" s="1"/>
  <c r="H29" i="2"/>
  <c r="J30" i="2" s="1"/>
  <c r="H30" i="2"/>
  <c r="H31" i="2"/>
  <c r="H32" i="2"/>
  <c r="J33" i="2" s="1"/>
  <c r="H33" i="2"/>
  <c r="J34" i="2" s="1"/>
  <c r="H34" i="2"/>
  <c r="J35" i="2" s="1"/>
  <c r="H35" i="2"/>
  <c r="H36" i="2"/>
  <c r="J37" i="2" s="1"/>
  <c r="H37" i="2"/>
  <c r="J38" i="2" s="1"/>
  <c r="H38" i="2"/>
  <c r="J39" i="2" s="1"/>
  <c r="H39" i="2"/>
  <c r="H40" i="2"/>
  <c r="J41" i="2" s="1"/>
  <c r="H41" i="2"/>
  <c r="J42" i="2" s="1"/>
  <c r="H42" i="2"/>
  <c r="J43" i="2" s="1"/>
  <c r="H43" i="2"/>
  <c r="H44" i="2"/>
  <c r="J45" i="2" s="1"/>
  <c r="H45" i="2"/>
  <c r="J46" i="2" s="1"/>
  <c r="H46" i="2"/>
  <c r="J47" i="2" s="1"/>
  <c r="H47" i="2"/>
  <c r="H48" i="2"/>
  <c r="J49" i="2" s="1"/>
  <c r="H49" i="2"/>
  <c r="J50" i="2" s="1"/>
  <c r="H50" i="2"/>
  <c r="J51" i="2" s="1"/>
  <c r="H51" i="2"/>
  <c r="H52" i="2"/>
  <c r="J53" i="2" s="1"/>
  <c r="H53" i="2"/>
  <c r="J54" i="2" s="1"/>
  <c r="H54" i="2"/>
  <c r="J55" i="2" s="1"/>
  <c r="H55" i="2"/>
  <c r="H56" i="2"/>
  <c r="J57" i="2" s="1"/>
  <c r="H57" i="2"/>
  <c r="J58" i="2" s="1"/>
  <c r="H58" i="2"/>
  <c r="H59" i="2"/>
  <c r="H60" i="2"/>
  <c r="J61" i="2" s="1"/>
  <c r="H61" i="2"/>
  <c r="J62" i="2" s="1"/>
  <c r="H62" i="2"/>
  <c r="H63" i="2"/>
  <c r="H64" i="2"/>
  <c r="J65" i="2" s="1"/>
  <c r="H65" i="2"/>
  <c r="J66" i="2" s="1"/>
  <c r="H66" i="2"/>
  <c r="J67" i="2" s="1"/>
  <c r="H67" i="2"/>
  <c r="H68" i="2"/>
  <c r="J69" i="2" s="1"/>
  <c r="H69" i="2"/>
  <c r="J70" i="2" s="1"/>
  <c r="H70" i="2"/>
  <c r="J71" i="2" s="1"/>
  <c r="H71" i="2"/>
  <c r="H72" i="2"/>
  <c r="J73" i="2" s="1"/>
  <c r="H73" i="2"/>
  <c r="J74" i="2" s="1"/>
  <c r="H74" i="2"/>
  <c r="J75" i="2" s="1"/>
  <c r="H75" i="2"/>
  <c r="H76" i="2"/>
  <c r="H77" i="2"/>
  <c r="J78" i="2" s="1"/>
  <c r="H78" i="2"/>
  <c r="J79" i="2" s="1"/>
  <c r="H79" i="2"/>
  <c r="H80" i="2"/>
  <c r="J81" i="2" s="1"/>
  <c r="H81" i="2"/>
  <c r="J82" i="2" s="1"/>
  <c r="H82" i="2"/>
  <c r="H83" i="2"/>
  <c r="H84" i="2"/>
  <c r="J85" i="2" s="1"/>
  <c r="H85" i="2"/>
  <c r="J86" i="2" s="1"/>
  <c r="H86" i="2"/>
  <c r="H87" i="2"/>
  <c r="H88" i="2"/>
  <c r="J89" i="2" s="1"/>
  <c r="H89" i="2"/>
  <c r="J90" i="2" s="1"/>
  <c r="H90" i="2"/>
  <c r="H91" i="2"/>
  <c r="H92" i="2"/>
  <c r="H93" i="2"/>
  <c r="J94" i="2" s="1"/>
  <c r="H94" i="2"/>
  <c r="H95" i="2"/>
  <c r="H96" i="2"/>
  <c r="J97" i="2" s="1"/>
  <c r="H97" i="2"/>
  <c r="J98" i="2" s="1"/>
  <c r="H98" i="2"/>
  <c r="H99" i="2"/>
  <c r="H100" i="2"/>
  <c r="J101" i="2" s="1"/>
  <c r="H101" i="2"/>
  <c r="J102" i="2" s="1"/>
  <c r="H102" i="2"/>
  <c r="H103" i="2"/>
  <c r="H104" i="2"/>
  <c r="J105" i="2" s="1"/>
  <c r="H105" i="2"/>
  <c r="J106" i="2" s="1"/>
  <c r="H106" i="2"/>
  <c r="H107" i="2"/>
  <c r="H108" i="2"/>
  <c r="J109" i="2" s="1"/>
  <c r="H109" i="2"/>
  <c r="J110" i="2" s="1"/>
  <c r="H110" i="2"/>
  <c r="H111" i="2"/>
  <c r="H112" i="2"/>
  <c r="J113" i="2" s="1"/>
  <c r="H113" i="2"/>
  <c r="J114" i="2" s="1"/>
  <c r="H114" i="2"/>
  <c r="H115" i="2"/>
  <c r="H116" i="2"/>
  <c r="J117" i="2" s="1"/>
  <c r="H117" i="2"/>
  <c r="J118" i="2" s="1"/>
  <c r="H118" i="2"/>
  <c r="H119" i="2"/>
  <c r="H120" i="2"/>
  <c r="J121" i="2" s="1"/>
  <c r="H121" i="2"/>
  <c r="J122" i="2" s="1"/>
  <c r="H122" i="2"/>
  <c r="H123" i="2"/>
  <c r="H124" i="2"/>
  <c r="J125" i="2" s="1"/>
  <c r="H125" i="2"/>
  <c r="J126" i="2" s="1"/>
  <c r="H126" i="2"/>
  <c r="H127" i="2"/>
  <c r="H128" i="2"/>
  <c r="J129" i="2" s="1"/>
  <c r="H129" i="2"/>
  <c r="J130" i="2" s="1"/>
  <c r="H130" i="2"/>
  <c r="H131" i="2"/>
  <c r="H132" i="2"/>
  <c r="J133" i="2" s="1"/>
  <c r="I133" i="2" s="1"/>
  <c r="H133" i="2"/>
  <c r="G133" i="2" s="1"/>
  <c r="H5" i="2"/>
  <c r="J6" i="2" s="1"/>
  <c r="H6" i="2"/>
  <c r="J7" i="2" s="1"/>
  <c r="H7" i="2"/>
  <c r="H8" i="2"/>
  <c r="J9" i="2" s="1"/>
  <c r="H9" i="2"/>
  <c r="J10" i="2" s="1"/>
  <c r="H10" i="2"/>
  <c r="J11" i="2" s="1"/>
  <c r="H11" i="2"/>
  <c r="H12" i="2"/>
  <c r="J13" i="2" s="1"/>
  <c r="H13" i="2"/>
  <c r="J14" i="2" s="1"/>
  <c r="H4" i="2"/>
  <c r="J5" i="2" s="1"/>
  <c r="H3" i="2"/>
  <c r="G3" i="2" s="1"/>
  <c r="G44" i="2" l="1"/>
  <c r="G10" i="2"/>
  <c r="G78" i="2"/>
  <c r="J59" i="2"/>
  <c r="I59" i="2" s="1"/>
  <c r="G58" i="2"/>
  <c r="J27" i="2"/>
  <c r="L28" i="2" s="1"/>
  <c r="G26" i="2"/>
  <c r="F135" i="2"/>
  <c r="J63" i="2"/>
  <c r="L64" i="2" s="1"/>
  <c r="G62" i="2"/>
  <c r="J31" i="2"/>
  <c r="L32" i="2" s="1"/>
  <c r="G30" i="2"/>
  <c r="J15" i="2"/>
  <c r="L16" i="2" s="1"/>
  <c r="G14" i="2"/>
  <c r="G42" i="2"/>
  <c r="G46" i="2"/>
  <c r="G74" i="2"/>
  <c r="G108" i="2"/>
  <c r="G124" i="2"/>
  <c r="J93" i="2"/>
  <c r="I93" i="2" s="1"/>
  <c r="G92" i="2"/>
  <c r="J77" i="2"/>
  <c r="G76" i="2"/>
  <c r="G28" i="2"/>
  <c r="L14" i="2"/>
  <c r="I13" i="2"/>
  <c r="L131" i="2"/>
  <c r="I130" i="2"/>
  <c r="L123" i="2"/>
  <c r="I122" i="2"/>
  <c r="L115" i="2"/>
  <c r="I114" i="2"/>
  <c r="L107" i="2"/>
  <c r="I106" i="2"/>
  <c r="L63" i="2"/>
  <c r="I62" i="2"/>
  <c r="L55" i="2"/>
  <c r="I54" i="2"/>
  <c r="L43" i="2"/>
  <c r="I42" i="2"/>
  <c r="L35" i="2"/>
  <c r="I34" i="2"/>
  <c r="L27" i="2"/>
  <c r="I26" i="2"/>
  <c r="L23" i="2"/>
  <c r="I22" i="2"/>
  <c r="G17" i="2"/>
  <c r="G49" i="2"/>
  <c r="G81" i="2"/>
  <c r="G113" i="2"/>
  <c r="G129" i="2"/>
  <c r="L126" i="2"/>
  <c r="I125" i="2"/>
  <c r="L118" i="2"/>
  <c r="I117" i="2"/>
  <c r="L110" i="2"/>
  <c r="I109" i="2"/>
  <c r="L102" i="2"/>
  <c r="I101" i="2"/>
  <c r="L94" i="2"/>
  <c r="L86" i="2"/>
  <c r="I85" i="2"/>
  <c r="L78" i="2"/>
  <c r="I77" i="2"/>
  <c r="L70" i="2"/>
  <c r="I69" i="2"/>
  <c r="L62" i="2"/>
  <c r="I61" i="2"/>
  <c r="L54" i="2"/>
  <c r="I53" i="2"/>
  <c r="L46" i="2"/>
  <c r="I45" i="2"/>
  <c r="L38" i="2"/>
  <c r="I37" i="2"/>
  <c r="L30" i="2"/>
  <c r="I29" i="2"/>
  <c r="L22" i="2"/>
  <c r="I21" i="2"/>
  <c r="G16" i="2"/>
  <c r="G48" i="2"/>
  <c r="G80" i="2"/>
  <c r="G112" i="2"/>
  <c r="G128" i="2"/>
  <c r="G21" i="2"/>
  <c r="G53" i="2"/>
  <c r="G85" i="2"/>
  <c r="G117" i="2"/>
  <c r="L6" i="2"/>
  <c r="I5" i="2"/>
  <c r="L12" i="2"/>
  <c r="I11" i="2"/>
  <c r="L8" i="2"/>
  <c r="I7" i="2"/>
  <c r="J132" i="2"/>
  <c r="G131" i="2"/>
  <c r="J128" i="2"/>
  <c r="G127" i="2"/>
  <c r="J124" i="2"/>
  <c r="G123" i="2"/>
  <c r="J120" i="2"/>
  <c r="G119" i="2"/>
  <c r="J116" i="2"/>
  <c r="G115" i="2"/>
  <c r="J112" i="2"/>
  <c r="G111" i="2"/>
  <c r="J108" i="2"/>
  <c r="G107" i="2"/>
  <c r="J104" i="2"/>
  <c r="G103" i="2"/>
  <c r="J100" i="2"/>
  <c r="G99" i="2"/>
  <c r="J96" i="2"/>
  <c r="G95" i="2"/>
  <c r="J92" i="2"/>
  <c r="G91" i="2"/>
  <c r="J88" i="2"/>
  <c r="G87" i="2"/>
  <c r="J84" i="2"/>
  <c r="G83" i="2"/>
  <c r="J80" i="2"/>
  <c r="G79" i="2"/>
  <c r="J76" i="2"/>
  <c r="G75" i="2"/>
  <c r="J72" i="2"/>
  <c r="G71" i="2"/>
  <c r="J68" i="2"/>
  <c r="G67" i="2"/>
  <c r="J64" i="2"/>
  <c r="G63" i="2"/>
  <c r="J60" i="2"/>
  <c r="G59" i="2"/>
  <c r="J56" i="2"/>
  <c r="G55" i="2"/>
  <c r="J52" i="2"/>
  <c r="G51" i="2"/>
  <c r="J48" i="2"/>
  <c r="G47" i="2"/>
  <c r="J44" i="2"/>
  <c r="G43" i="2"/>
  <c r="J40" i="2"/>
  <c r="G39" i="2"/>
  <c r="J36" i="2"/>
  <c r="G35" i="2"/>
  <c r="J32" i="2"/>
  <c r="G31" i="2"/>
  <c r="J28" i="2"/>
  <c r="G27" i="2"/>
  <c r="J24" i="2"/>
  <c r="G23" i="2"/>
  <c r="J20" i="2"/>
  <c r="G19" i="2"/>
  <c r="J16" i="2"/>
  <c r="G15" i="2"/>
  <c r="G4" i="2"/>
  <c r="G20" i="2"/>
  <c r="G36" i="2"/>
  <c r="G52" i="2"/>
  <c r="G68" i="2"/>
  <c r="G84" i="2"/>
  <c r="G100" i="2"/>
  <c r="G116" i="2"/>
  <c r="G132" i="2"/>
  <c r="G9" i="2"/>
  <c r="G25" i="2"/>
  <c r="G41" i="2"/>
  <c r="G57" i="2"/>
  <c r="G73" i="2"/>
  <c r="G89" i="2"/>
  <c r="G105" i="2"/>
  <c r="G121" i="2"/>
  <c r="G18" i="2"/>
  <c r="G34" i="2"/>
  <c r="G50" i="2"/>
  <c r="G66" i="2"/>
  <c r="G5" i="2"/>
  <c r="L10" i="2"/>
  <c r="I9" i="2"/>
  <c r="L127" i="2"/>
  <c r="I126" i="2"/>
  <c r="L119" i="2"/>
  <c r="I118" i="2"/>
  <c r="L111" i="2"/>
  <c r="I110" i="2"/>
  <c r="L103" i="2"/>
  <c r="I102" i="2"/>
  <c r="L99" i="2"/>
  <c r="I98" i="2"/>
  <c r="L95" i="2"/>
  <c r="I94" i="2"/>
  <c r="L91" i="2"/>
  <c r="I90" i="2"/>
  <c r="L87" i="2"/>
  <c r="I86" i="2"/>
  <c r="L83" i="2"/>
  <c r="I82" i="2"/>
  <c r="L79" i="2"/>
  <c r="I78" i="2"/>
  <c r="L75" i="2"/>
  <c r="I74" i="2"/>
  <c r="L71" i="2"/>
  <c r="I70" i="2"/>
  <c r="L67" i="2"/>
  <c r="I66" i="2"/>
  <c r="L59" i="2"/>
  <c r="I58" i="2"/>
  <c r="L51" i="2"/>
  <c r="I50" i="2"/>
  <c r="L47" i="2"/>
  <c r="I46" i="2"/>
  <c r="L39" i="2"/>
  <c r="I38" i="2"/>
  <c r="L31" i="2"/>
  <c r="I30" i="2"/>
  <c r="L19" i="2"/>
  <c r="I18" i="2"/>
  <c r="G12" i="2"/>
  <c r="G33" i="2"/>
  <c r="G65" i="2"/>
  <c r="G97" i="2"/>
  <c r="J12" i="2"/>
  <c r="G11" i="2"/>
  <c r="J8" i="2"/>
  <c r="G7" i="2"/>
  <c r="L130" i="2"/>
  <c r="I129" i="2"/>
  <c r="L122" i="2"/>
  <c r="I121" i="2"/>
  <c r="L114" i="2"/>
  <c r="I113" i="2"/>
  <c r="L106" i="2"/>
  <c r="I105" i="2"/>
  <c r="L98" i="2"/>
  <c r="I97" i="2"/>
  <c r="L90" i="2"/>
  <c r="I89" i="2"/>
  <c r="L82" i="2"/>
  <c r="I81" i="2"/>
  <c r="L74" i="2"/>
  <c r="I73" i="2"/>
  <c r="L66" i="2"/>
  <c r="I65" i="2"/>
  <c r="L58" i="2"/>
  <c r="I57" i="2"/>
  <c r="L50" i="2"/>
  <c r="I49" i="2"/>
  <c r="L42" i="2"/>
  <c r="I41" i="2"/>
  <c r="L34" i="2"/>
  <c r="I33" i="2"/>
  <c r="L26" i="2"/>
  <c r="I25" i="2"/>
  <c r="L18" i="2"/>
  <c r="I17" i="2"/>
  <c r="G32" i="2"/>
  <c r="G64" i="2"/>
  <c r="G96" i="2"/>
  <c r="G37" i="2"/>
  <c r="G69" i="2"/>
  <c r="G101" i="2"/>
  <c r="L15" i="2"/>
  <c r="I14" i="2"/>
  <c r="L11" i="2"/>
  <c r="I10" i="2"/>
  <c r="L7" i="2"/>
  <c r="I6" i="2"/>
  <c r="J131" i="2"/>
  <c r="G130" i="2"/>
  <c r="J127" i="2"/>
  <c r="G126" i="2"/>
  <c r="J123" i="2"/>
  <c r="G122" i="2"/>
  <c r="J119" i="2"/>
  <c r="G118" i="2"/>
  <c r="J115" i="2"/>
  <c r="G114" i="2"/>
  <c r="J111" i="2"/>
  <c r="G110" i="2"/>
  <c r="J107" i="2"/>
  <c r="G106" i="2"/>
  <c r="J103" i="2"/>
  <c r="G102" i="2"/>
  <c r="J99" i="2"/>
  <c r="G98" i="2"/>
  <c r="J95" i="2"/>
  <c r="G94" i="2"/>
  <c r="J91" i="2"/>
  <c r="G90" i="2"/>
  <c r="J87" i="2"/>
  <c r="G86" i="2"/>
  <c r="J83" i="2"/>
  <c r="G82" i="2"/>
  <c r="L80" i="2"/>
  <c r="I79" i="2"/>
  <c r="L76" i="2"/>
  <c r="I75" i="2"/>
  <c r="L72" i="2"/>
  <c r="I71" i="2"/>
  <c r="L68" i="2"/>
  <c r="I67" i="2"/>
  <c r="L60" i="2"/>
  <c r="L56" i="2"/>
  <c r="I55" i="2"/>
  <c r="L52" i="2"/>
  <c r="I51" i="2"/>
  <c r="L48" i="2"/>
  <c r="I47" i="2"/>
  <c r="L44" i="2"/>
  <c r="I43" i="2"/>
  <c r="L40" i="2"/>
  <c r="I39" i="2"/>
  <c r="L36" i="2"/>
  <c r="I35" i="2"/>
  <c r="L24" i="2"/>
  <c r="I23" i="2"/>
  <c r="L20" i="2"/>
  <c r="I19" i="2"/>
  <c r="G8" i="2"/>
  <c r="G24" i="2"/>
  <c r="G40" i="2"/>
  <c r="G56" i="2"/>
  <c r="G72" i="2"/>
  <c r="G88" i="2"/>
  <c r="G104" i="2"/>
  <c r="G120" i="2"/>
  <c r="G13" i="2"/>
  <c r="G29" i="2"/>
  <c r="G45" i="2"/>
  <c r="G61" i="2"/>
  <c r="G77" i="2"/>
  <c r="G93" i="2"/>
  <c r="G109" i="2"/>
  <c r="G125" i="2"/>
  <c r="G6" i="2"/>
  <c r="G22" i="2"/>
  <c r="G38" i="2"/>
  <c r="G54" i="2"/>
  <c r="G70" i="2"/>
  <c r="J4" i="2"/>
  <c r="I4" i="2" s="1"/>
  <c r="D4" i="3"/>
  <c r="C5" i="3"/>
  <c r="F3" i="3"/>
  <c r="E3" i="3"/>
  <c r="N2" i="1"/>
  <c r="N3" i="1"/>
  <c r="N4" i="1"/>
  <c r="N5" i="1"/>
  <c r="N6" i="1"/>
  <c r="N7" i="1"/>
  <c r="N8" i="1"/>
  <c r="N9" i="1"/>
  <c r="N10" i="1"/>
  <c r="N11" i="1"/>
  <c r="N12" i="1"/>
  <c r="G135" i="2" l="1"/>
  <c r="G136" i="2" s="1"/>
  <c r="G138" i="2" s="1"/>
  <c r="N29" i="2"/>
  <c r="K28" i="2"/>
  <c r="N33" i="2"/>
  <c r="K32" i="2"/>
  <c r="N17" i="2"/>
  <c r="K16" i="2"/>
  <c r="N65" i="2"/>
  <c r="K64" i="2"/>
  <c r="N21" i="2"/>
  <c r="K20" i="2"/>
  <c r="N40" i="2"/>
  <c r="K39" i="2"/>
  <c r="N84" i="2"/>
  <c r="K83" i="2"/>
  <c r="N39" i="2"/>
  <c r="K38" i="2"/>
  <c r="N103" i="2"/>
  <c r="K102" i="2"/>
  <c r="N73" i="2"/>
  <c r="K72" i="2"/>
  <c r="N104" i="2"/>
  <c r="K103" i="2"/>
  <c r="N108" i="2"/>
  <c r="K107" i="2"/>
  <c r="N15" i="2"/>
  <c r="K14" i="2"/>
  <c r="I27" i="2"/>
  <c r="N47" i="2"/>
  <c r="K46" i="2"/>
  <c r="N79" i="2"/>
  <c r="K78" i="2"/>
  <c r="N111" i="2"/>
  <c r="K110" i="2"/>
  <c r="N69" i="2"/>
  <c r="K68" i="2"/>
  <c r="N91" i="2"/>
  <c r="K90" i="2"/>
  <c r="N11" i="2"/>
  <c r="K10" i="2"/>
  <c r="N37" i="2"/>
  <c r="K36" i="2"/>
  <c r="N59" i="2"/>
  <c r="K58" i="2"/>
  <c r="N128" i="2"/>
  <c r="K127" i="2"/>
  <c r="N71" i="2"/>
  <c r="K70" i="2"/>
  <c r="N41" i="2"/>
  <c r="K40" i="2"/>
  <c r="N67" i="2"/>
  <c r="K66" i="2"/>
  <c r="N88" i="2"/>
  <c r="K87" i="2"/>
  <c r="N61" i="2"/>
  <c r="K60" i="2"/>
  <c r="N76" i="2"/>
  <c r="K75" i="2"/>
  <c r="N112" i="2"/>
  <c r="K111" i="2"/>
  <c r="I63" i="2"/>
  <c r="N23" i="2"/>
  <c r="K22" i="2"/>
  <c r="N55" i="2"/>
  <c r="K54" i="2"/>
  <c r="N87" i="2"/>
  <c r="K86" i="2"/>
  <c r="N119" i="2"/>
  <c r="K118" i="2"/>
  <c r="N53" i="2"/>
  <c r="K52" i="2"/>
  <c r="N100" i="2"/>
  <c r="K99" i="2"/>
  <c r="N25" i="2"/>
  <c r="K24" i="2"/>
  <c r="N57" i="2"/>
  <c r="K56" i="2"/>
  <c r="N8" i="2"/>
  <c r="K7" i="2"/>
  <c r="N35" i="2"/>
  <c r="K34" i="2"/>
  <c r="N99" i="2"/>
  <c r="K98" i="2"/>
  <c r="N131" i="2"/>
  <c r="K130" i="2"/>
  <c r="N48" i="2"/>
  <c r="K47" i="2"/>
  <c r="N72" i="2"/>
  <c r="K71" i="2"/>
  <c r="N7" i="2"/>
  <c r="K6" i="2"/>
  <c r="N36" i="2"/>
  <c r="K35" i="2"/>
  <c r="N45" i="2"/>
  <c r="K44" i="2"/>
  <c r="N77" i="2"/>
  <c r="K76" i="2"/>
  <c r="N12" i="2"/>
  <c r="K11" i="2"/>
  <c r="N43" i="2"/>
  <c r="K42" i="2"/>
  <c r="N75" i="2"/>
  <c r="K74" i="2"/>
  <c r="N107" i="2"/>
  <c r="K106" i="2"/>
  <c r="N20" i="2"/>
  <c r="K19" i="2"/>
  <c r="N52" i="2"/>
  <c r="K51" i="2"/>
  <c r="N92" i="2"/>
  <c r="K91" i="2"/>
  <c r="N44" i="2"/>
  <c r="K43" i="2"/>
  <c r="N116" i="2"/>
  <c r="K115" i="2"/>
  <c r="I15" i="2"/>
  <c r="I31" i="2"/>
  <c r="N49" i="2"/>
  <c r="K48" i="2"/>
  <c r="N81" i="2"/>
  <c r="K80" i="2"/>
  <c r="N16" i="2"/>
  <c r="K15" i="2"/>
  <c r="N19" i="2"/>
  <c r="K18" i="2"/>
  <c r="N51" i="2"/>
  <c r="K50" i="2"/>
  <c r="N83" i="2"/>
  <c r="K82" i="2"/>
  <c r="N115" i="2"/>
  <c r="K114" i="2"/>
  <c r="N32" i="2"/>
  <c r="K31" i="2"/>
  <c r="N60" i="2"/>
  <c r="K59" i="2"/>
  <c r="N80" i="2"/>
  <c r="K79" i="2"/>
  <c r="N96" i="2"/>
  <c r="K95" i="2"/>
  <c r="N120" i="2"/>
  <c r="K119" i="2"/>
  <c r="N9" i="2"/>
  <c r="K8" i="2"/>
  <c r="N24" i="2"/>
  <c r="K23" i="2"/>
  <c r="N56" i="2"/>
  <c r="K55" i="2"/>
  <c r="N124" i="2"/>
  <c r="K123" i="2"/>
  <c r="N31" i="2"/>
  <c r="K30" i="2"/>
  <c r="N63" i="2"/>
  <c r="K62" i="2"/>
  <c r="N95" i="2"/>
  <c r="K94" i="2"/>
  <c r="N127" i="2"/>
  <c r="K126" i="2"/>
  <c r="N27" i="2"/>
  <c r="K26" i="2"/>
  <c r="N68" i="2"/>
  <c r="K67" i="2"/>
  <c r="N13" i="2"/>
  <c r="K12" i="2"/>
  <c r="N28" i="2"/>
  <c r="K27" i="2"/>
  <c r="N64" i="2"/>
  <c r="K63" i="2"/>
  <c r="N132" i="2"/>
  <c r="K131" i="2"/>
  <c r="N123" i="2"/>
  <c r="K122" i="2"/>
  <c r="L84" i="2"/>
  <c r="I83" i="2"/>
  <c r="L92" i="2"/>
  <c r="I91" i="2"/>
  <c r="L100" i="2"/>
  <c r="I99" i="2"/>
  <c r="L108" i="2"/>
  <c r="I107" i="2"/>
  <c r="L116" i="2"/>
  <c r="I115" i="2"/>
  <c r="L124" i="2"/>
  <c r="I123" i="2"/>
  <c r="L132" i="2"/>
  <c r="I131" i="2"/>
  <c r="L21" i="2"/>
  <c r="I20" i="2"/>
  <c r="L29" i="2"/>
  <c r="I28" i="2"/>
  <c r="L37" i="2"/>
  <c r="I36" i="2"/>
  <c r="L45" i="2"/>
  <c r="I44" i="2"/>
  <c r="L53" i="2"/>
  <c r="I52" i="2"/>
  <c r="L61" i="2"/>
  <c r="I60" i="2"/>
  <c r="L69" i="2"/>
  <c r="I68" i="2"/>
  <c r="L77" i="2"/>
  <c r="I76" i="2"/>
  <c r="L85" i="2"/>
  <c r="I84" i="2"/>
  <c r="L93" i="2"/>
  <c r="I92" i="2"/>
  <c r="L101" i="2"/>
  <c r="I100" i="2"/>
  <c r="L109" i="2"/>
  <c r="I108" i="2"/>
  <c r="L117" i="2"/>
  <c r="I116" i="2"/>
  <c r="L125" i="2"/>
  <c r="I124" i="2"/>
  <c r="L133" i="2"/>
  <c r="K133" i="2" s="1"/>
  <c r="I132" i="2"/>
  <c r="L9" i="2"/>
  <c r="I8" i="2"/>
  <c r="L88" i="2"/>
  <c r="I87" i="2"/>
  <c r="L96" i="2"/>
  <c r="I95" i="2"/>
  <c r="L104" i="2"/>
  <c r="I103" i="2"/>
  <c r="L112" i="2"/>
  <c r="I111" i="2"/>
  <c r="L120" i="2"/>
  <c r="I119" i="2"/>
  <c r="L128" i="2"/>
  <c r="I127" i="2"/>
  <c r="L13" i="2"/>
  <c r="I12" i="2"/>
  <c r="L17" i="2"/>
  <c r="I16" i="2"/>
  <c r="L25" i="2"/>
  <c r="I24" i="2"/>
  <c r="L33" i="2"/>
  <c r="I32" i="2"/>
  <c r="L41" i="2"/>
  <c r="I40" i="2"/>
  <c r="L49" i="2"/>
  <c r="I48" i="2"/>
  <c r="L57" i="2"/>
  <c r="I56" i="2"/>
  <c r="L65" i="2"/>
  <c r="I64" i="2"/>
  <c r="L73" i="2"/>
  <c r="I72" i="2"/>
  <c r="L81" i="2"/>
  <c r="I80" i="2"/>
  <c r="L89" i="2"/>
  <c r="I88" i="2"/>
  <c r="L97" i="2"/>
  <c r="I96" i="2"/>
  <c r="L105" i="2"/>
  <c r="I104" i="2"/>
  <c r="L113" i="2"/>
  <c r="I112" i="2"/>
  <c r="L121" i="2"/>
  <c r="I120" i="2"/>
  <c r="L129" i="2"/>
  <c r="I128" i="2"/>
  <c r="L5" i="2"/>
  <c r="K5" i="2" s="1"/>
  <c r="G3" i="3"/>
  <c r="C6" i="3"/>
  <c r="D5" i="3"/>
  <c r="F4" i="3"/>
  <c r="E4" i="3"/>
  <c r="G4" i="3" s="1"/>
  <c r="I135" i="2" l="1"/>
  <c r="I136" i="2" s="1"/>
  <c r="I138" i="2" s="1"/>
  <c r="P29" i="2"/>
  <c r="M28" i="2"/>
  <c r="P128" i="2"/>
  <c r="M127" i="2"/>
  <c r="P125" i="2"/>
  <c r="M124" i="2"/>
  <c r="P121" i="2"/>
  <c r="M120" i="2"/>
  <c r="P33" i="2"/>
  <c r="M32" i="2"/>
  <c r="P20" i="2"/>
  <c r="M19" i="2"/>
  <c r="P53" i="2"/>
  <c r="M52" i="2"/>
  <c r="P44" i="2"/>
  <c r="M43" i="2"/>
  <c r="P37" i="2"/>
  <c r="M36" i="2"/>
  <c r="P132" i="2"/>
  <c r="M131" i="2"/>
  <c r="P58" i="2"/>
  <c r="M57" i="2"/>
  <c r="P120" i="2"/>
  <c r="M119" i="2"/>
  <c r="P74" i="2"/>
  <c r="M73" i="2"/>
  <c r="P41" i="2"/>
  <c r="M40" i="2"/>
  <c r="P34" i="2"/>
  <c r="M33" i="2"/>
  <c r="N122" i="2"/>
  <c r="K121" i="2"/>
  <c r="N90" i="2"/>
  <c r="K89" i="2"/>
  <c r="N58" i="2"/>
  <c r="K57" i="2"/>
  <c r="N26" i="2"/>
  <c r="K25" i="2"/>
  <c r="N121" i="2"/>
  <c r="K120" i="2"/>
  <c r="N89" i="2"/>
  <c r="K88" i="2"/>
  <c r="N118" i="2"/>
  <c r="K117" i="2"/>
  <c r="N86" i="2"/>
  <c r="K85" i="2"/>
  <c r="N54" i="2"/>
  <c r="K53" i="2"/>
  <c r="N22" i="2"/>
  <c r="K21" i="2"/>
  <c r="N109" i="2"/>
  <c r="K108" i="2"/>
  <c r="P113" i="2"/>
  <c r="M112" i="2"/>
  <c r="P68" i="2"/>
  <c r="M67" i="2"/>
  <c r="P60" i="2"/>
  <c r="M59" i="2"/>
  <c r="P70" i="2"/>
  <c r="M69" i="2"/>
  <c r="P124" i="2"/>
  <c r="M123" i="2"/>
  <c r="P14" i="2"/>
  <c r="M13" i="2"/>
  <c r="P96" i="2"/>
  <c r="M95" i="2"/>
  <c r="P57" i="2"/>
  <c r="M56" i="2"/>
  <c r="P97" i="2"/>
  <c r="M96" i="2"/>
  <c r="P116" i="2"/>
  <c r="M115" i="2"/>
  <c r="P17" i="2"/>
  <c r="M16" i="2"/>
  <c r="P117" i="2"/>
  <c r="M116" i="2"/>
  <c r="P21" i="2"/>
  <c r="M20" i="2"/>
  <c r="P13" i="2"/>
  <c r="M12" i="2"/>
  <c r="P8" i="2"/>
  <c r="M7" i="2"/>
  <c r="P100" i="2"/>
  <c r="M99" i="2"/>
  <c r="P26" i="2"/>
  <c r="M25" i="2"/>
  <c r="P88" i="2"/>
  <c r="M87" i="2"/>
  <c r="P16" i="2"/>
  <c r="M15" i="2"/>
  <c r="P104" i="2"/>
  <c r="M103" i="2"/>
  <c r="P22" i="2"/>
  <c r="M21" i="2"/>
  <c r="P30" i="2"/>
  <c r="M29" i="2"/>
  <c r="N114" i="2"/>
  <c r="K113" i="2"/>
  <c r="N82" i="2"/>
  <c r="K81" i="2"/>
  <c r="N50" i="2"/>
  <c r="K49" i="2"/>
  <c r="N18" i="2"/>
  <c r="K17" i="2"/>
  <c r="N113" i="2"/>
  <c r="K112" i="2"/>
  <c r="N10" i="2"/>
  <c r="K9" i="2"/>
  <c r="N110" i="2"/>
  <c r="K109" i="2"/>
  <c r="N78" i="2"/>
  <c r="K77" i="2"/>
  <c r="N46" i="2"/>
  <c r="K45" i="2"/>
  <c r="N133" i="2"/>
  <c r="M133" i="2" s="1"/>
  <c r="K132" i="2"/>
  <c r="N101" i="2"/>
  <c r="K100" i="2"/>
  <c r="P77" i="2"/>
  <c r="M76" i="2"/>
  <c r="P42" i="2"/>
  <c r="M41" i="2"/>
  <c r="P38" i="2"/>
  <c r="M37" i="2"/>
  <c r="P112" i="2"/>
  <c r="M111" i="2"/>
  <c r="P133" i="2"/>
  <c r="O133" i="2" s="1"/>
  <c r="M132" i="2"/>
  <c r="P69" i="2"/>
  <c r="M68" i="2"/>
  <c r="P64" i="2"/>
  <c r="M63" i="2"/>
  <c r="P25" i="2"/>
  <c r="M24" i="2"/>
  <c r="P81" i="2"/>
  <c r="M80" i="2"/>
  <c r="P84" i="2"/>
  <c r="M83" i="2"/>
  <c r="P82" i="2"/>
  <c r="M81" i="2"/>
  <c r="P45" i="2"/>
  <c r="M44" i="2"/>
  <c r="P108" i="2"/>
  <c r="M107" i="2"/>
  <c r="P78" i="2"/>
  <c r="M77" i="2"/>
  <c r="P73" i="2"/>
  <c r="M72" i="2"/>
  <c r="P36" i="2"/>
  <c r="M35" i="2"/>
  <c r="P101" i="2"/>
  <c r="M100" i="2"/>
  <c r="P56" i="2"/>
  <c r="M55" i="2"/>
  <c r="P109" i="2"/>
  <c r="M108" i="2"/>
  <c r="P40" i="2"/>
  <c r="M39" i="2"/>
  <c r="P66" i="2"/>
  <c r="M65" i="2"/>
  <c r="N106" i="2"/>
  <c r="K105" i="2"/>
  <c r="N74" i="2"/>
  <c r="K73" i="2"/>
  <c r="N42" i="2"/>
  <c r="K41" i="2"/>
  <c r="N14" i="2"/>
  <c r="K13" i="2"/>
  <c r="N105" i="2"/>
  <c r="K104" i="2"/>
  <c r="N102" i="2"/>
  <c r="K101" i="2"/>
  <c r="N70" i="2"/>
  <c r="K69" i="2"/>
  <c r="N38" i="2"/>
  <c r="K37" i="2"/>
  <c r="N125" i="2"/>
  <c r="K124" i="2"/>
  <c r="N93" i="2"/>
  <c r="K92" i="2"/>
  <c r="P62" i="2"/>
  <c r="M61" i="2"/>
  <c r="P72" i="2"/>
  <c r="M71" i="2"/>
  <c r="P12" i="2"/>
  <c r="M11" i="2"/>
  <c r="P80" i="2"/>
  <c r="M79" i="2"/>
  <c r="P65" i="2"/>
  <c r="M64" i="2"/>
  <c r="P28" i="2"/>
  <c r="M27" i="2"/>
  <c r="P32" i="2"/>
  <c r="M31" i="2"/>
  <c r="P10" i="2"/>
  <c r="M9" i="2"/>
  <c r="P61" i="2"/>
  <c r="M60" i="2"/>
  <c r="P52" i="2"/>
  <c r="M51" i="2"/>
  <c r="P50" i="2"/>
  <c r="M49" i="2"/>
  <c r="P93" i="2"/>
  <c r="M92" i="2"/>
  <c r="P76" i="2"/>
  <c r="M75" i="2"/>
  <c r="P46" i="2"/>
  <c r="M45" i="2"/>
  <c r="P49" i="2"/>
  <c r="M48" i="2"/>
  <c r="P9" i="2"/>
  <c r="M8" i="2"/>
  <c r="P54" i="2"/>
  <c r="M53" i="2"/>
  <c r="P24" i="2"/>
  <c r="M23" i="2"/>
  <c r="P105" i="2"/>
  <c r="M104" i="2"/>
  <c r="P85" i="2"/>
  <c r="M84" i="2"/>
  <c r="P18" i="2"/>
  <c r="M17" i="2"/>
  <c r="N130" i="2"/>
  <c r="K129" i="2"/>
  <c r="N98" i="2"/>
  <c r="K97" i="2"/>
  <c r="N66" i="2"/>
  <c r="K65" i="2"/>
  <c r="N34" i="2"/>
  <c r="K33" i="2"/>
  <c r="N129" i="2"/>
  <c r="K128" i="2"/>
  <c r="N97" i="2"/>
  <c r="K96" i="2"/>
  <c r="N126" i="2"/>
  <c r="K125" i="2"/>
  <c r="N94" i="2"/>
  <c r="K93" i="2"/>
  <c r="N62" i="2"/>
  <c r="K61" i="2"/>
  <c r="N30" i="2"/>
  <c r="K29" i="2"/>
  <c r="N117" i="2"/>
  <c r="K116" i="2"/>
  <c r="N85" i="2"/>
  <c r="K84" i="2"/>
  <c r="P89" i="2"/>
  <c r="M88" i="2"/>
  <c r="P129" i="2"/>
  <c r="M128" i="2"/>
  <c r="P92" i="2"/>
  <c r="M91" i="2"/>
  <c r="P48" i="2"/>
  <c r="M47" i="2"/>
  <c r="N6" i="2"/>
  <c r="M6" i="2" s="1"/>
  <c r="C7" i="3"/>
  <c r="D6" i="3"/>
  <c r="F5" i="3"/>
  <c r="E5" i="3"/>
  <c r="G5" i="3" s="1"/>
  <c r="K135" i="2" l="1"/>
  <c r="K136" i="2" s="1"/>
  <c r="R93" i="2"/>
  <c r="O92" i="2"/>
  <c r="P127" i="2"/>
  <c r="M126" i="2"/>
  <c r="R86" i="2"/>
  <c r="O85" i="2"/>
  <c r="R94" i="2"/>
  <c r="O93" i="2"/>
  <c r="R81" i="2"/>
  <c r="O80" i="2"/>
  <c r="P103" i="2"/>
  <c r="M102" i="2"/>
  <c r="R74" i="2"/>
  <c r="O73" i="2"/>
  <c r="P83" i="2"/>
  <c r="M82" i="2"/>
  <c r="R101" i="2"/>
  <c r="O100" i="2"/>
  <c r="R58" i="2"/>
  <c r="O57" i="2"/>
  <c r="P110" i="2"/>
  <c r="M109" i="2"/>
  <c r="P59" i="2"/>
  <c r="M58" i="2"/>
  <c r="R21" i="2"/>
  <c r="O20" i="2"/>
  <c r="P31" i="2"/>
  <c r="M30" i="2"/>
  <c r="P99" i="2"/>
  <c r="M98" i="2"/>
  <c r="R50" i="2"/>
  <c r="O49" i="2"/>
  <c r="R33" i="2"/>
  <c r="O32" i="2"/>
  <c r="P126" i="2"/>
  <c r="M125" i="2"/>
  <c r="R57" i="2"/>
  <c r="O56" i="2"/>
  <c r="R85" i="2"/>
  <c r="O84" i="2"/>
  <c r="R43" i="2"/>
  <c r="O42" i="2"/>
  <c r="P115" i="2"/>
  <c r="M114" i="2"/>
  <c r="R97" i="2"/>
  <c r="O96" i="2"/>
  <c r="R90" i="2"/>
  <c r="O89" i="2"/>
  <c r="P63" i="2"/>
  <c r="M62" i="2"/>
  <c r="P130" i="2"/>
  <c r="M129" i="2"/>
  <c r="P131" i="2"/>
  <c r="M130" i="2"/>
  <c r="R25" i="2"/>
  <c r="O24" i="2"/>
  <c r="R47" i="2"/>
  <c r="O46" i="2"/>
  <c r="R53" i="2"/>
  <c r="O52" i="2"/>
  <c r="R29" i="2"/>
  <c r="O28" i="2"/>
  <c r="R73" i="2"/>
  <c r="O72" i="2"/>
  <c r="P39" i="2"/>
  <c r="M38" i="2"/>
  <c r="P15" i="2"/>
  <c r="M14" i="2"/>
  <c r="P118" i="2"/>
  <c r="M117" i="2"/>
  <c r="P67" i="2"/>
  <c r="M66" i="2"/>
  <c r="R10" i="2"/>
  <c r="O9" i="2"/>
  <c r="R11" i="2"/>
  <c r="O10" i="2"/>
  <c r="P94" i="2"/>
  <c r="M93" i="2"/>
  <c r="P75" i="2"/>
  <c r="M74" i="2"/>
  <c r="R110" i="2"/>
  <c r="O109" i="2"/>
  <c r="R83" i="2"/>
  <c r="O82" i="2"/>
  <c r="R65" i="2"/>
  <c r="O64" i="2"/>
  <c r="R39" i="2"/>
  <c r="O38" i="2"/>
  <c r="P11" i="2"/>
  <c r="M10" i="2"/>
  <c r="R105" i="2"/>
  <c r="O104" i="2"/>
  <c r="R118" i="2"/>
  <c r="O117" i="2"/>
  <c r="R71" i="2"/>
  <c r="O70" i="2"/>
  <c r="P119" i="2"/>
  <c r="M118" i="2"/>
  <c r="R42" i="2"/>
  <c r="O41" i="2"/>
  <c r="R133" i="2"/>
  <c r="Q133" i="2" s="1"/>
  <c r="O132" i="2"/>
  <c r="R129" i="2"/>
  <c r="O128" i="2"/>
  <c r="R130" i="2"/>
  <c r="O129" i="2"/>
  <c r="P98" i="2"/>
  <c r="M97" i="2"/>
  <c r="R106" i="2"/>
  <c r="O105" i="2"/>
  <c r="R51" i="2"/>
  <c r="O50" i="2"/>
  <c r="R13" i="2"/>
  <c r="O12" i="2"/>
  <c r="P106" i="2"/>
  <c r="M105" i="2"/>
  <c r="P107" i="2"/>
  <c r="M106" i="2"/>
  <c r="R79" i="2"/>
  <c r="O78" i="2"/>
  <c r="R70" i="2"/>
  <c r="O69" i="2"/>
  <c r="P47" i="2"/>
  <c r="M46" i="2"/>
  <c r="P114" i="2"/>
  <c r="M113" i="2"/>
  <c r="R17" i="2"/>
  <c r="O16" i="2"/>
  <c r="R9" i="2"/>
  <c r="O8" i="2"/>
  <c r="R18" i="2"/>
  <c r="O17" i="2"/>
  <c r="R61" i="2"/>
  <c r="O60" i="2"/>
  <c r="P23" i="2"/>
  <c r="M22" i="2"/>
  <c r="P90" i="2"/>
  <c r="M89" i="2"/>
  <c r="P91" i="2"/>
  <c r="M90" i="2"/>
  <c r="R75" i="2"/>
  <c r="O74" i="2"/>
  <c r="R38" i="2"/>
  <c r="O37" i="2"/>
  <c r="R34" i="2"/>
  <c r="O33" i="2"/>
  <c r="R30" i="2"/>
  <c r="O29" i="2"/>
  <c r="R67" i="2"/>
  <c r="O66" i="2"/>
  <c r="R102" i="2"/>
  <c r="O101" i="2"/>
  <c r="R109" i="2"/>
  <c r="O108" i="2"/>
  <c r="R82" i="2"/>
  <c r="O81" i="2"/>
  <c r="R78" i="2"/>
  <c r="O77" i="2"/>
  <c r="P79" i="2"/>
  <c r="M78" i="2"/>
  <c r="P19" i="2"/>
  <c r="M18" i="2"/>
  <c r="R31" i="2"/>
  <c r="O30" i="2"/>
  <c r="R89" i="2"/>
  <c r="O88" i="2"/>
  <c r="R14" i="2"/>
  <c r="O13" i="2"/>
  <c r="R117" i="2"/>
  <c r="O116" i="2"/>
  <c r="R15" i="2"/>
  <c r="O14" i="2"/>
  <c r="R69" i="2"/>
  <c r="O68" i="2"/>
  <c r="P55" i="2"/>
  <c r="M54" i="2"/>
  <c r="P122" i="2"/>
  <c r="M121" i="2"/>
  <c r="P123" i="2"/>
  <c r="M122" i="2"/>
  <c r="R121" i="2"/>
  <c r="O120" i="2"/>
  <c r="R45" i="2"/>
  <c r="O44" i="2"/>
  <c r="R122" i="2"/>
  <c r="O121" i="2"/>
  <c r="R49" i="2"/>
  <c r="O48" i="2"/>
  <c r="P86" i="2"/>
  <c r="M85" i="2"/>
  <c r="P95" i="2"/>
  <c r="M94" i="2"/>
  <c r="P35" i="2"/>
  <c r="M34" i="2"/>
  <c r="R19" i="2"/>
  <c r="O18" i="2"/>
  <c r="R55" i="2"/>
  <c r="O54" i="2"/>
  <c r="R77" i="2"/>
  <c r="O76" i="2"/>
  <c r="R62" i="2"/>
  <c r="O61" i="2"/>
  <c r="R66" i="2"/>
  <c r="O65" i="2"/>
  <c r="R63" i="2"/>
  <c r="O62" i="2"/>
  <c r="P71" i="2"/>
  <c r="M70" i="2"/>
  <c r="P43" i="2"/>
  <c r="M42" i="2"/>
  <c r="R41" i="2"/>
  <c r="O40" i="2"/>
  <c r="R37" i="2"/>
  <c r="O36" i="2"/>
  <c r="R46" i="2"/>
  <c r="O45" i="2"/>
  <c r="R26" i="2"/>
  <c r="O25" i="2"/>
  <c r="R113" i="2"/>
  <c r="O112" i="2"/>
  <c r="P102" i="2"/>
  <c r="M101" i="2"/>
  <c r="P111" i="2"/>
  <c r="M110" i="2"/>
  <c r="P51" i="2"/>
  <c r="M50" i="2"/>
  <c r="R23" i="2"/>
  <c r="O22" i="2"/>
  <c r="R27" i="2"/>
  <c r="O26" i="2"/>
  <c r="R22" i="2"/>
  <c r="O21" i="2"/>
  <c r="R98" i="2"/>
  <c r="O97" i="2"/>
  <c r="R125" i="2"/>
  <c r="O124" i="2"/>
  <c r="R114" i="2"/>
  <c r="O113" i="2"/>
  <c r="P87" i="2"/>
  <c r="M86" i="2"/>
  <c r="P27" i="2"/>
  <c r="M26" i="2"/>
  <c r="R35" i="2"/>
  <c r="O34" i="2"/>
  <c r="R59" i="2"/>
  <c r="O58" i="2"/>
  <c r="R54" i="2"/>
  <c r="O53" i="2"/>
  <c r="R126" i="2"/>
  <c r="O125" i="2"/>
  <c r="P7" i="2"/>
  <c r="O7" i="2" s="1"/>
  <c r="F6" i="3"/>
  <c r="E6" i="3"/>
  <c r="C8" i="3"/>
  <c r="D7" i="3"/>
  <c r="M135" i="2" l="1"/>
  <c r="M136" i="2" s="1"/>
  <c r="M138" i="2" s="1"/>
  <c r="T95" i="2"/>
  <c r="Q94" i="2"/>
  <c r="T127" i="2"/>
  <c r="Q126" i="2"/>
  <c r="R44" i="2"/>
  <c r="O43" i="2"/>
  <c r="R20" i="2"/>
  <c r="O19" i="2"/>
  <c r="Q9" i="2"/>
  <c r="T10" i="2"/>
  <c r="T131" i="2"/>
  <c r="Q130" i="2"/>
  <c r="T111" i="2"/>
  <c r="Q110" i="2"/>
  <c r="R64" i="2"/>
  <c r="O63" i="2"/>
  <c r="T102" i="2"/>
  <c r="Q101" i="2"/>
  <c r="T28" i="2"/>
  <c r="Q27" i="2"/>
  <c r="R103" i="2"/>
  <c r="O102" i="2"/>
  <c r="T38" i="2"/>
  <c r="Q37" i="2"/>
  <c r="T64" i="2"/>
  <c r="Q63" i="2"/>
  <c r="T56" i="2"/>
  <c r="Q55" i="2"/>
  <c r="R87" i="2"/>
  <c r="O86" i="2"/>
  <c r="T122" i="2"/>
  <c r="Q121" i="2"/>
  <c r="T70" i="2"/>
  <c r="Q69" i="2"/>
  <c r="T90" i="2"/>
  <c r="Q89" i="2"/>
  <c r="T79" i="2"/>
  <c r="Q78" i="2"/>
  <c r="T68" i="2"/>
  <c r="Q67" i="2"/>
  <c r="T76" i="2"/>
  <c r="Q75" i="2"/>
  <c r="T62" i="2"/>
  <c r="Q61" i="2"/>
  <c r="R115" i="2"/>
  <c r="O114" i="2"/>
  <c r="R108" i="2"/>
  <c r="O107" i="2"/>
  <c r="T107" i="2"/>
  <c r="Q106" i="2"/>
  <c r="T119" i="2"/>
  <c r="Q118" i="2"/>
  <c r="T66" i="2"/>
  <c r="Q65" i="2"/>
  <c r="R95" i="2"/>
  <c r="O94" i="2"/>
  <c r="R119" i="2"/>
  <c r="O118" i="2"/>
  <c r="T30" i="2"/>
  <c r="Q29" i="2"/>
  <c r="R132" i="2"/>
  <c r="O131" i="2"/>
  <c r="T98" i="2"/>
  <c r="Q97" i="2"/>
  <c r="T58" i="2"/>
  <c r="Q57" i="2"/>
  <c r="R100" i="2"/>
  <c r="O99" i="2"/>
  <c r="R111" i="2"/>
  <c r="O110" i="2"/>
  <c r="T75" i="2"/>
  <c r="Q74" i="2"/>
  <c r="R104" i="2"/>
  <c r="O103" i="2"/>
  <c r="R28" i="2"/>
  <c r="O27" i="2"/>
  <c r="T27" i="2"/>
  <c r="Q26" i="2"/>
  <c r="T123" i="2"/>
  <c r="Q122" i="2"/>
  <c r="T35" i="2"/>
  <c r="Q34" i="2"/>
  <c r="T14" i="2"/>
  <c r="Q13" i="2"/>
  <c r="T11" i="2"/>
  <c r="Q10" i="2"/>
  <c r="T44" i="2"/>
  <c r="Q43" i="2"/>
  <c r="T60" i="2"/>
  <c r="Q59" i="2"/>
  <c r="T87" i="2"/>
  <c r="Q86" i="2"/>
  <c r="T99" i="2"/>
  <c r="Q98" i="2"/>
  <c r="R36" i="2"/>
  <c r="O35" i="2"/>
  <c r="T118" i="2"/>
  <c r="Q117" i="2"/>
  <c r="R91" i="2"/>
  <c r="O90" i="2"/>
  <c r="R120" i="2"/>
  <c r="O119" i="2"/>
  <c r="R40" i="2"/>
  <c r="O39" i="2"/>
  <c r="T22" i="2"/>
  <c r="Q21" i="2"/>
  <c r="T115" i="2"/>
  <c r="Q114" i="2"/>
  <c r="T36" i="2"/>
  <c r="Q35" i="2"/>
  <c r="T126" i="2"/>
  <c r="Q125" i="2"/>
  <c r="T24" i="2"/>
  <c r="Q23" i="2"/>
  <c r="T114" i="2"/>
  <c r="Q113" i="2"/>
  <c r="T42" i="2"/>
  <c r="Q41" i="2"/>
  <c r="T67" i="2"/>
  <c r="Q66" i="2"/>
  <c r="T20" i="2"/>
  <c r="Q19" i="2"/>
  <c r="T50" i="2"/>
  <c r="Q49" i="2"/>
  <c r="R124" i="2"/>
  <c r="O123" i="2"/>
  <c r="T16" i="2"/>
  <c r="Q15" i="2"/>
  <c r="T32" i="2"/>
  <c r="Q31" i="2"/>
  <c r="T83" i="2"/>
  <c r="Q82" i="2"/>
  <c r="T31" i="2"/>
  <c r="Q30" i="2"/>
  <c r="R92" i="2"/>
  <c r="O91" i="2"/>
  <c r="T19" i="2"/>
  <c r="Q18" i="2"/>
  <c r="R48" i="2"/>
  <c r="O47" i="2"/>
  <c r="R107" i="2"/>
  <c r="O106" i="2"/>
  <c r="R99" i="2"/>
  <c r="O98" i="2"/>
  <c r="T43" i="2"/>
  <c r="Q42" i="2"/>
  <c r="T106" i="2"/>
  <c r="Q105" i="2"/>
  <c r="T84" i="2"/>
  <c r="Q83" i="2"/>
  <c r="T12" i="2"/>
  <c r="Q11" i="2"/>
  <c r="R16" i="2"/>
  <c r="O15" i="2"/>
  <c r="T54" i="2"/>
  <c r="Q53" i="2"/>
  <c r="R131" i="2"/>
  <c r="O130" i="2"/>
  <c r="R116" i="2"/>
  <c r="O115" i="2"/>
  <c r="R127" i="2"/>
  <c r="O126" i="2"/>
  <c r="R32" i="2"/>
  <c r="O31" i="2"/>
  <c r="T59" i="2"/>
  <c r="Q58" i="2"/>
  <c r="R128" i="2"/>
  <c r="O127" i="2"/>
  <c r="R52" i="2"/>
  <c r="O51" i="2"/>
  <c r="T63" i="2"/>
  <c r="Q62" i="2"/>
  <c r="R123" i="2"/>
  <c r="O122" i="2"/>
  <c r="T110" i="2"/>
  <c r="Q109" i="2"/>
  <c r="T71" i="2"/>
  <c r="Q70" i="2"/>
  <c r="R12" i="2"/>
  <c r="O11" i="2"/>
  <c r="T48" i="2"/>
  <c r="Q47" i="2"/>
  <c r="T34" i="2"/>
  <c r="Q33" i="2"/>
  <c r="T82" i="2"/>
  <c r="Q81" i="2"/>
  <c r="T94" i="2"/>
  <c r="Q93" i="2"/>
  <c r="T55" i="2"/>
  <c r="Q54" i="2"/>
  <c r="R88" i="2"/>
  <c r="O87" i="2"/>
  <c r="T23" i="2"/>
  <c r="Q22" i="2"/>
  <c r="R112" i="2"/>
  <c r="O111" i="2"/>
  <c r="T47" i="2"/>
  <c r="Q46" i="2"/>
  <c r="R72" i="2"/>
  <c r="O71" i="2"/>
  <c r="T78" i="2"/>
  <c r="Q77" i="2"/>
  <c r="R96" i="2"/>
  <c r="O95" i="2"/>
  <c r="T46" i="2"/>
  <c r="Q45" i="2"/>
  <c r="R56" i="2"/>
  <c r="O55" i="2"/>
  <c r="T15" i="2"/>
  <c r="Q14" i="2"/>
  <c r="R80" i="2"/>
  <c r="O79" i="2"/>
  <c r="T103" i="2"/>
  <c r="Q102" i="2"/>
  <c r="T39" i="2"/>
  <c r="Q38" i="2"/>
  <c r="R24" i="2"/>
  <c r="O23" i="2"/>
  <c r="T18" i="2"/>
  <c r="Q17" i="2"/>
  <c r="T80" i="2"/>
  <c r="Q79" i="2"/>
  <c r="T52" i="2"/>
  <c r="Q51" i="2"/>
  <c r="T130" i="2"/>
  <c r="Q129" i="2"/>
  <c r="T72" i="2"/>
  <c r="Q71" i="2"/>
  <c r="T40" i="2"/>
  <c r="Q39" i="2"/>
  <c r="R76" i="2"/>
  <c r="O75" i="2"/>
  <c r="R68" i="2"/>
  <c r="O67" i="2"/>
  <c r="T74" i="2"/>
  <c r="Q73" i="2"/>
  <c r="T26" i="2"/>
  <c r="Q25" i="2"/>
  <c r="T91" i="2"/>
  <c r="Q90" i="2"/>
  <c r="T86" i="2"/>
  <c r="Q85" i="2"/>
  <c r="T51" i="2"/>
  <c r="Q50" i="2"/>
  <c r="R60" i="2"/>
  <c r="O59" i="2"/>
  <c r="R84" i="2"/>
  <c r="O83" i="2"/>
  <c r="R8" i="2"/>
  <c r="C9" i="3"/>
  <c r="D8" i="3"/>
  <c r="G6" i="3"/>
  <c r="F7" i="3"/>
  <c r="E7" i="3"/>
  <c r="G7" i="3" s="1"/>
  <c r="O135" i="2" l="1"/>
  <c r="O136" i="2" s="1"/>
  <c r="O138" i="2" s="1"/>
  <c r="V87" i="2"/>
  <c r="S86" i="2"/>
  <c r="V131" i="2"/>
  <c r="S130" i="2"/>
  <c r="V16" i="2"/>
  <c r="S15" i="2"/>
  <c r="V24" i="2"/>
  <c r="S23" i="2"/>
  <c r="V72" i="2"/>
  <c r="S71" i="2"/>
  <c r="T53" i="2"/>
  <c r="Q52" i="2"/>
  <c r="V44" i="2"/>
  <c r="S43" i="2"/>
  <c r="V33" i="2"/>
  <c r="S32" i="2"/>
  <c r="V25" i="2"/>
  <c r="S24" i="2"/>
  <c r="V11" i="2"/>
  <c r="S10" i="2"/>
  <c r="V119" i="2"/>
  <c r="S118" i="2"/>
  <c r="V61" i="2"/>
  <c r="S60" i="2"/>
  <c r="V36" i="2"/>
  <c r="S35" i="2"/>
  <c r="T105" i="2"/>
  <c r="Q104" i="2"/>
  <c r="V59" i="2"/>
  <c r="S58" i="2"/>
  <c r="T120" i="2"/>
  <c r="Q119" i="2"/>
  <c r="V108" i="2"/>
  <c r="S107" i="2"/>
  <c r="V77" i="2"/>
  <c r="S76" i="2"/>
  <c r="V71" i="2"/>
  <c r="S70" i="2"/>
  <c r="V65" i="2"/>
  <c r="S64" i="2"/>
  <c r="V103" i="2"/>
  <c r="S102" i="2"/>
  <c r="V96" i="2"/>
  <c r="S95" i="2"/>
  <c r="T85" i="2"/>
  <c r="Q84" i="2"/>
  <c r="V92" i="2"/>
  <c r="S91" i="2"/>
  <c r="T77" i="2"/>
  <c r="Q76" i="2"/>
  <c r="V53" i="2"/>
  <c r="S52" i="2"/>
  <c r="V40" i="2"/>
  <c r="S39" i="2"/>
  <c r="T57" i="2"/>
  <c r="Q56" i="2"/>
  <c r="T73" i="2"/>
  <c r="Q72" i="2"/>
  <c r="T89" i="2"/>
  <c r="Q88" i="2"/>
  <c r="V35" i="2"/>
  <c r="S34" i="2"/>
  <c r="V111" i="2"/>
  <c r="S110" i="2"/>
  <c r="T129" i="2"/>
  <c r="Q128" i="2"/>
  <c r="T117" i="2"/>
  <c r="Q116" i="2"/>
  <c r="V13" i="2"/>
  <c r="S12" i="2"/>
  <c r="T100" i="2"/>
  <c r="Q99" i="2"/>
  <c r="T93" i="2"/>
  <c r="Q92" i="2"/>
  <c r="V17" i="2"/>
  <c r="S16" i="2"/>
  <c r="V68" i="2"/>
  <c r="S67" i="2"/>
  <c r="V127" i="2"/>
  <c r="S126" i="2"/>
  <c r="T41" i="2"/>
  <c r="Q40" i="2"/>
  <c r="T37" i="2"/>
  <c r="Q36" i="2"/>
  <c r="V45" i="2"/>
  <c r="S44" i="2"/>
  <c r="V124" i="2"/>
  <c r="S123" i="2"/>
  <c r="V76" i="2"/>
  <c r="S75" i="2"/>
  <c r="V99" i="2"/>
  <c r="S98" i="2"/>
  <c r="T96" i="2"/>
  <c r="Q95" i="2"/>
  <c r="T109" i="2"/>
  <c r="Q108" i="2"/>
  <c r="V69" i="2"/>
  <c r="S68" i="2"/>
  <c r="V123" i="2"/>
  <c r="S122" i="2"/>
  <c r="V39" i="2"/>
  <c r="S38" i="2"/>
  <c r="T65" i="2"/>
  <c r="Q64" i="2"/>
  <c r="T21" i="2"/>
  <c r="Q20" i="2"/>
  <c r="T9" i="2"/>
  <c r="S9" i="2" s="1"/>
  <c r="Q8" i="2"/>
  <c r="T69" i="2"/>
  <c r="Q68" i="2"/>
  <c r="T25" i="2"/>
  <c r="Q24" i="2"/>
  <c r="V79" i="2"/>
  <c r="S78" i="2"/>
  <c r="V83" i="2"/>
  <c r="S82" i="2"/>
  <c r="T128" i="2"/>
  <c r="Q127" i="2"/>
  <c r="V20" i="2"/>
  <c r="S19" i="2"/>
  <c r="V21" i="2"/>
  <c r="S20" i="2"/>
  <c r="V23" i="2"/>
  <c r="S22" i="2"/>
  <c r="T61" i="2"/>
  <c r="Q60" i="2"/>
  <c r="V27" i="2"/>
  <c r="S26" i="2"/>
  <c r="V41" i="2"/>
  <c r="S40" i="2"/>
  <c r="V81" i="2"/>
  <c r="S80" i="2"/>
  <c r="V104" i="2"/>
  <c r="S103" i="2"/>
  <c r="V47" i="2"/>
  <c r="S46" i="2"/>
  <c r="V48" i="2"/>
  <c r="S47" i="2"/>
  <c r="V56" i="2"/>
  <c r="S55" i="2"/>
  <c r="V49" i="2"/>
  <c r="S48" i="2"/>
  <c r="T124" i="2"/>
  <c r="Q123" i="2"/>
  <c r="V60" i="2"/>
  <c r="S59" i="2"/>
  <c r="T132" i="2"/>
  <c r="Q131" i="2"/>
  <c r="V85" i="2"/>
  <c r="S84" i="2"/>
  <c r="T108" i="2"/>
  <c r="Q107" i="2"/>
  <c r="V32" i="2"/>
  <c r="S31" i="2"/>
  <c r="T125" i="2"/>
  <c r="Q124" i="2"/>
  <c r="V43" i="2"/>
  <c r="S42" i="2"/>
  <c r="V37" i="2"/>
  <c r="S36" i="2"/>
  <c r="T121" i="2"/>
  <c r="Q120" i="2"/>
  <c r="V100" i="2"/>
  <c r="S99" i="2"/>
  <c r="V12" i="2"/>
  <c r="S11" i="2"/>
  <c r="V28" i="2"/>
  <c r="S27" i="2"/>
  <c r="T112" i="2"/>
  <c r="Q111" i="2"/>
  <c r="T133" i="2"/>
  <c r="S133" i="2" s="1"/>
  <c r="Q132" i="2"/>
  <c r="V67" i="2"/>
  <c r="S66" i="2"/>
  <c r="T116" i="2"/>
  <c r="Q115" i="2"/>
  <c r="V80" i="2"/>
  <c r="S79" i="2"/>
  <c r="T88" i="2"/>
  <c r="Q87" i="2"/>
  <c r="T104" i="2"/>
  <c r="Q103" i="2"/>
  <c r="V112" i="2"/>
  <c r="S111" i="2"/>
  <c r="T45" i="2"/>
  <c r="Q44" i="2"/>
  <c r="V52" i="2"/>
  <c r="S51" i="2"/>
  <c r="V75" i="2"/>
  <c r="S74" i="2"/>
  <c r="V73" i="2"/>
  <c r="S72" i="2"/>
  <c r="V19" i="2"/>
  <c r="S18" i="2"/>
  <c r="T81" i="2"/>
  <c r="Q80" i="2"/>
  <c r="T97" i="2"/>
  <c r="Q96" i="2"/>
  <c r="T113" i="2"/>
  <c r="Q112" i="2"/>
  <c r="V95" i="2"/>
  <c r="S94" i="2"/>
  <c r="Q12" i="2"/>
  <c r="T13" i="2"/>
  <c r="V64" i="2"/>
  <c r="S63" i="2"/>
  <c r="T33" i="2"/>
  <c r="Q32" i="2"/>
  <c r="V55" i="2"/>
  <c r="S54" i="2"/>
  <c r="V107" i="2"/>
  <c r="S106" i="2"/>
  <c r="T49" i="2"/>
  <c r="Q48" i="2"/>
  <c r="V84" i="2"/>
  <c r="S83" i="2"/>
  <c r="V51" i="2"/>
  <c r="S50" i="2"/>
  <c r="V115" i="2"/>
  <c r="S114" i="2"/>
  <c r="V116" i="2"/>
  <c r="S115" i="2"/>
  <c r="T92" i="2"/>
  <c r="Q91" i="2"/>
  <c r="V88" i="2"/>
  <c r="S87" i="2"/>
  <c r="V15" i="2"/>
  <c r="S14" i="2"/>
  <c r="T29" i="2"/>
  <c r="Q28" i="2"/>
  <c r="T101" i="2"/>
  <c r="Q100" i="2"/>
  <c r="V31" i="2"/>
  <c r="S30" i="2"/>
  <c r="V120" i="2"/>
  <c r="S119" i="2"/>
  <c r="V63" i="2"/>
  <c r="S62" i="2"/>
  <c r="V91" i="2"/>
  <c r="S90" i="2"/>
  <c r="V57" i="2"/>
  <c r="S56" i="2"/>
  <c r="V29" i="2"/>
  <c r="S28" i="2"/>
  <c r="V132" i="2"/>
  <c r="S131" i="2"/>
  <c r="V128" i="2"/>
  <c r="S127" i="2"/>
  <c r="T17" i="2"/>
  <c r="Q16" i="2"/>
  <c r="V10" i="2"/>
  <c r="U10" i="2" s="1"/>
  <c r="F8" i="3"/>
  <c r="E8" i="3"/>
  <c r="C10" i="3"/>
  <c r="D9" i="3"/>
  <c r="X16" i="2" l="1"/>
  <c r="U15" i="2"/>
  <c r="V82" i="2"/>
  <c r="S81" i="2"/>
  <c r="V133" i="2"/>
  <c r="U133" i="2" s="1"/>
  <c r="S132" i="2"/>
  <c r="V38" i="2"/>
  <c r="S37" i="2"/>
  <c r="V54" i="2"/>
  <c r="S53" i="2"/>
  <c r="X129" i="2"/>
  <c r="U128" i="2"/>
  <c r="X92" i="2"/>
  <c r="U91" i="2"/>
  <c r="V102" i="2"/>
  <c r="S101" i="2"/>
  <c r="V93" i="2"/>
  <c r="S92" i="2"/>
  <c r="X85" i="2"/>
  <c r="U84" i="2"/>
  <c r="V34" i="2"/>
  <c r="S33" i="2"/>
  <c r="V114" i="2"/>
  <c r="S113" i="2"/>
  <c r="X74" i="2"/>
  <c r="U73" i="2"/>
  <c r="X113" i="2"/>
  <c r="U112" i="2"/>
  <c r="V117" i="2"/>
  <c r="S116" i="2"/>
  <c r="X29" i="2"/>
  <c r="U28" i="2"/>
  <c r="X38" i="2"/>
  <c r="U37" i="2"/>
  <c r="V109" i="2"/>
  <c r="S108" i="2"/>
  <c r="V125" i="2"/>
  <c r="S124" i="2"/>
  <c r="X48" i="2"/>
  <c r="U47" i="2"/>
  <c r="X28" i="2"/>
  <c r="U27" i="2"/>
  <c r="X21" i="2"/>
  <c r="U20" i="2"/>
  <c r="V26" i="2"/>
  <c r="S25" i="2"/>
  <c r="V66" i="2"/>
  <c r="S65" i="2"/>
  <c r="V110" i="2"/>
  <c r="S109" i="2"/>
  <c r="X125" i="2"/>
  <c r="U124" i="2"/>
  <c r="X128" i="2"/>
  <c r="U127" i="2"/>
  <c r="V101" i="2"/>
  <c r="S100" i="2"/>
  <c r="X112" i="2"/>
  <c r="U111" i="2"/>
  <c r="V58" i="2"/>
  <c r="S57" i="2"/>
  <c r="X93" i="2"/>
  <c r="U92" i="2"/>
  <c r="X66" i="2"/>
  <c r="U65" i="2"/>
  <c r="V121" i="2"/>
  <c r="S120" i="2"/>
  <c r="X62" i="2"/>
  <c r="U61" i="2"/>
  <c r="X34" i="2"/>
  <c r="U33" i="2"/>
  <c r="X25" i="2"/>
  <c r="U24" i="2"/>
  <c r="V118" i="2"/>
  <c r="S117" i="2"/>
  <c r="X78" i="2"/>
  <c r="U77" i="2"/>
  <c r="X116" i="2"/>
  <c r="U115" i="2"/>
  <c r="V89" i="2"/>
  <c r="S88" i="2"/>
  <c r="X24" i="2"/>
  <c r="U23" i="2"/>
  <c r="X100" i="2"/>
  <c r="U99" i="2"/>
  <c r="V90" i="2"/>
  <c r="S89" i="2"/>
  <c r="X97" i="2"/>
  <c r="U96" i="2"/>
  <c r="X56" i="2"/>
  <c r="U55" i="2"/>
  <c r="X30" i="2"/>
  <c r="U29" i="2"/>
  <c r="X84" i="2"/>
  <c r="U83" i="2"/>
  <c r="X132" i="2"/>
  <c r="U131" i="2"/>
  <c r="X58" i="2"/>
  <c r="U57" i="2"/>
  <c r="X133" i="2"/>
  <c r="W133" i="2" s="1"/>
  <c r="U132" i="2"/>
  <c r="X64" i="2"/>
  <c r="U63" i="2"/>
  <c r="V30" i="2"/>
  <c r="S29" i="2"/>
  <c r="X117" i="2"/>
  <c r="U116" i="2"/>
  <c r="V50" i="2"/>
  <c r="S49" i="2"/>
  <c r="X65" i="2"/>
  <c r="U64" i="2"/>
  <c r="V98" i="2"/>
  <c r="S97" i="2"/>
  <c r="X76" i="2"/>
  <c r="U75" i="2"/>
  <c r="V105" i="2"/>
  <c r="S104" i="2"/>
  <c r="X68" i="2"/>
  <c r="U67" i="2"/>
  <c r="X13" i="2"/>
  <c r="U12" i="2"/>
  <c r="X44" i="2"/>
  <c r="U43" i="2"/>
  <c r="X86" i="2"/>
  <c r="U85" i="2"/>
  <c r="X50" i="2"/>
  <c r="U49" i="2"/>
  <c r="X105" i="2"/>
  <c r="U104" i="2"/>
  <c r="V62" i="2"/>
  <c r="S61" i="2"/>
  <c r="V129" i="2"/>
  <c r="S128" i="2"/>
  <c r="V70" i="2"/>
  <c r="S69" i="2"/>
  <c r="X40" i="2"/>
  <c r="U39" i="2"/>
  <c r="V97" i="2"/>
  <c r="S96" i="2"/>
  <c r="X46" i="2"/>
  <c r="U45" i="2"/>
  <c r="X69" i="2"/>
  <c r="U68" i="2"/>
  <c r="X14" i="2"/>
  <c r="U13" i="2"/>
  <c r="X36" i="2"/>
  <c r="U35" i="2"/>
  <c r="X41" i="2"/>
  <c r="U40" i="2"/>
  <c r="V86" i="2"/>
  <c r="S85" i="2"/>
  <c r="X72" i="2"/>
  <c r="U71" i="2"/>
  <c r="X60" i="2"/>
  <c r="U59" i="2"/>
  <c r="X120" i="2"/>
  <c r="U119" i="2"/>
  <c r="X45" i="2"/>
  <c r="U44" i="2"/>
  <c r="X17" i="2"/>
  <c r="U16" i="2"/>
  <c r="V14" i="2"/>
  <c r="S13" i="2"/>
  <c r="Q135" i="2"/>
  <c r="Q136" i="2" s="1"/>
  <c r="Q138" i="2" s="1"/>
  <c r="X101" i="2"/>
  <c r="U100" i="2"/>
  <c r="X57" i="2"/>
  <c r="U56" i="2"/>
  <c r="X124" i="2"/>
  <c r="U123" i="2"/>
  <c r="X54" i="2"/>
  <c r="U53" i="2"/>
  <c r="V106" i="2"/>
  <c r="S105" i="2"/>
  <c r="X32" i="2"/>
  <c r="U31" i="2"/>
  <c r="X52" i="2"/>
  <c r="U51" i="2"/>
  <c r="X96" i="2"/>
  <c r="U95" i="2"/>
  <c r="X20" i="2"/>
  <c r="U19" i="2"/>
  <c r="V46" i="2"/>
  <c r="S45" i="2"/>
  <c r="X81" i="2"/>
  <c r="U80" i="2"/>
  <c r="V113" i="2"/>
  <c r="S112" i="2"/>
  <c r="V122" i="2"/>
  <c r="S121" i="2"/>
  <c r="X33" i="2"/>
  <c r="U32" i="2"/>
  <c r="X61" i="2"/>
  <c r="U60" i="2"/>
  <c r="X49" i="2"/>
  <c r="U48" i="2"/>
  <c r="X42" i="2"/>
  <c r="U41" i="2"/>
  <c r="X22" i="2"/>
  <c r="U21" i="2"/>
  <c r="X80" i="2"/>
  <c r="U79" i="2"/>
  <c r="V22" i="2"/>
  <c r="S21" i="2"/>
  <c r="X70" i="2"/>
  <c r="U69" i="2"/>
  <c r="X77" i="2"/>
  <c r="U76" i="2"/>
  <c r="V42" i="2"/>
  <c r="S41" i="2"/>
  <c r="V94" i="2"/>
  <c r="S93" i="2"/>
  <c r="V130" i="2"/>
  <c r="S129" i="2"/>
  <c r="V74" i="2"/>
  <c r="S73" i="2"/>
  <c r="V78" i="2"/>
  <c r="S77" i="2"/>
  <c r="X104" i="2"/>
  <c r="U103" i="2"/>
  <c r="X109" i="2"/>
  <c r="U108" i="2"/>
  <c r="X37" i="2"/>
  <c r="U36" i="2"/>
  <c r="X26" i="2"/>
  <c r="U25" i="2"/>
  <c r="X73" i="2"/>
  <c r="U72" i="2"/>
  <c r="X88" i="2"/>
  <c r="U87" i="2"/>
  <c r="X121" i="2"/>
  <c r="U120" i="2"/>
  <c r="X108" i="2"/>
  <c r="U107" i="2"/>
  <c r="X53" i="2"/>
  <c r="U52" i="2"/>
  <c r="V126" i="2"/>
  <c r="S125" i="2"/>
  <c r="X82" i="2"/>
  <c r="U81" i="2"/>
  <c r="X18" i="2"/>
  <c r="U17" i="2"/>
  <c r="X12" i="2"/>
  <c r="U11" i="2"/>
  <c r="V18" i="2"/>
  <c r="S17" i="2"/>
  <c r="X89" i="2"/>
  <c r="U88" i="2"/>
  <c r="X11" i="2"/>
  <c r="G8" i="3"/>
  <c r="F9" i="3"/>
  <c r="E9" i="3"/>
  <c r="G9" i="3" s="1"/>
  <c r="C11" i="3"/>
  <c r="D10" i="3"/>
  <c r="S135" i="2" l="1"/>
  <c r="S136" i="2" s="1"/>
  <c r="S138" i="2" s="1"/>
  <c r="Z27" i="2"/>
  <c r="W26" i="2"/>
  <c r="Z53" i="2"/>
  <c r="W52" i="2"/>
  <c r="X98" i="2"/>
  <c r="U97" i="2"/>
  <c r="Z75" i="2"/>
  <c r="W74" i="2"/>
  <c r="Z90" i="2"/>
  <c r="W89" i="2"/>
  <c r="Z122" i="2"/>
  <c r="W121" i="2"/>
  <c r="Z38" i="2"/>
  <c r="W37" i="2"/>
  <c r="X75" i="2"/>
  <c r="U74" i="2"/>
  <c r="Z78" i="2"/>
  <c r="W77" i="2"/>
  <c r="Z23" i="2"/>
  <c r="W22" i="2"/>
  <c r="Z34" i="2"/>
  <c r="W33" i="2"/>
  <c r="X47" i="2"/>
  <c r="U46" i="2"/>
  <c r="Z33" i="2"/>
  <c r="W32" i="2"/>
  <c r="Z58" i="2"/>
  <c r="W57" i="2"/>
  <c r="Z18" i="2"/>
  <c r="W17" i="2"/>
  <c r="Z73" i="2"/>
  <c r="W72" i="2"/>
  <c r="Z15" i="2"/>
  <c r="W14" i="2"/>
  <c r="Z41" i="2"/>
  <c r="W40" i="2"/>
  <c r="Z106" i="2"/>
  <c r="W105" i="2"/>
  <c r="Z14" i="2"/>
  <c r="W13" i="2"/>
  <c r="X99" i="2"/>
  <c r="U98" i="2"/>
  <c r="X31" i="2"/>
  <c r="U30" i="2"/>
  <c r="Z133" i="2"/>
  <c r="Y133" i="2" s="1"/>
  <c r="W132" i="2"/>
  <c r="Z98" i="2"/>
  <c r="W97" i="2"/>
  <c r="X90" i="2"/>
  <c r="U89" i="2"/>
  <c r="Z26" i="2"/>
  <c r="W25" i="2"/>
  <c r="Z67" i="2"/>
  <c r="W66" i="2"/>
  <c r="X102" i="2"/>
  <c r="U101" i="2"/>
  <c r="X67" i="2"/>
  <c r="U66" i="2"/>
  <c r="Z49" i="2"/>
  <c r="W48" i="2"/>
  <c r="Z30" i="2"/>
  <c r="W29" i="2"/>
  <c r="X115" i="2"/>
  <c r="U114" i="2"/>
  <c r="X103" i="2"/>
  <c r="U102" i="2"/>
  <c r="X39" i="2"/>
  <c r="U38" i="2"/>
  <c r="Z12" i="2"/>
  <c r="W11" i="2"/>
  <c r="X79" i="2"/>
  <c r="U78" i="2"/>
  <c r="Z125" i="2"/>
  <c r="W124" i="2"/>
  <c r="Z21" i="2"/>
  <c r="W20" i="2"/>
  <c r="Z81" i="2"/>
  <c r="W80" i="2"/>
  <c r="X63" i="2"/>
  <c r="U62" i="2"/>
  <c r="X111" i="2"/>
  <c r="U110" i="2"/>
  <c r="X19" i="2"/>
  <c r="U18" i="2"/>
  <c r="Z71" i="2"/>
  <c r="W70" i="2"/>
  <c r="Z102" i="2"/>
  <c r="W101" i="2"/>
  <c r="Z51" i="2"/>
  <c r="W50" i="2"/>
  <c r="X91" i="2"/>
  <c r="U90" i="2"/>
  <c r="Z35" i="2"/>
  <c r="W34" i="2"/>
  <c r="Z94" i="2"/>
  <c r="W93" i="2"/>
  <c r="Z129" i="2"/>
  <c r="W128" i="2"/>
  <c r="X27" i="2"/>
  <c r="U26" i="2"/>
  <c r="X126" i="2"/>
  <c r="U125" i="2"/>
  <c r="X118" i="2"/>
  <c r="U117" i="2"/>
  <c r="X35" i="2"/>
  <c r="U34" i="2"/>
  <c r="Z93" i="2"/>
  <c r="W92" i="2"/>
  <c r="Z109" i="2"/>
  <c r="W108" i="2"/>
  <c r="Z82" i="2"/>
  <c r="W81" i="2"/>
  <c r="Z37" i="2"/>
  <c r="W36" i="2"/>
  <c r="Z39" i="2"/>
  <c r="W38" i="2"/>
  <c r="Z83" i="2"/>
  <c r="W82" i="2"/>
  <c r="X127" i="2"/>
  <c r="U126" i="2"/>
  <c r="Z89" i="2"/>
  <c r="W88" i="2"/>
  <c r="Z110" i="2"/>
  <c r="W109" i="2"/>
  <c r="X131" i="2"/>
  <c r="U130" i="2"/>
  <c r="Z43" i="2"/>
  <c r="W42" i="2"/>
  <c r="X123" i="2"/>
  <c r="U122" i="2"/>
  <c r="X107" i="2"/>
  <c r="U106" i="2"/>
  <c r="Z46" i="2"/>
  <c r="W45" i="2"/>
  <c r="X87" i="2"/>
  <c r="U86" i="2"/>
  <c r="Z70" i="2"/>
  <c r="W69" i="2"/>
  <c r="X71" i="2"/>
  <c r="U70" i="2"/>
  <c r="Z69" i="2"/>
  <c r="W68" i="2"/>
  <c r="Z66" i="2"/>
  <c r="W65" i="2"/>
  <c r="Z65" i="2"/>
  <c r="W64" i="2"/>
  <c r="Z85" i="2"/>
  <c r="W84" i="2"/>
  <c r="Z117" i="2"/>
  <c r="W116" i="2"/>
  <c r="Z13" i="2"/>
  <c r="W12" i="2"/>
  <c r="Z54" i="2"/>
  <c r="W53" i="2"/>
  <c r="Z74" i="2"/>
  <c r="W73" i="2"/>
  <c r="Z105" i="2"/>
  <c r="W104" i="2"/>
  <c r="X95" i="2"/>
  <c r="U94" i="2"/>
  <c r="X23" i="2"/>
  <c r="U22" i="2"/>
  <c r="Z50" i="2"/>
  <c r="W49" i="2"/>
  <c r="X114" i="2"/>
  <c r="U113" i="2"/>
  <c r="Z97" i="2"/>
  <c r="W96" i="2"/>
  <c r="Z55" i="2"/>
  <c r="W54" i="2"/>
  <c r="Z121" i="2"/>
  <c r="W120" i="2"/>
  <c r="Z42" i="2"/>
  <c r="W41" i="2"/>
  <c r="Z47" i="2"/>
  <c r="W46" i="2"/>
  <c r="X130" i="2"/>
  <c r="U129" i="2"/>
  <c r="Z87" i="2"/>
  <c r="W86" i="2"/>
  <c r="X106" i="2"/>
  <c r="U105" i="2"/>
  <c r="X51" i="2"/>
  <c r="U50" i="2"/>
  <c r="Z31" i="2"/>
  <c r="W30" i="2"/>
  <c r="Z101" i="2"/>
  <c r="W100" i="2"/>
  <c r="Z79" i="2"/>
  <c r="W78" i="2"/>
  <c r="Z63" i="2"/>
  <c r="W62" i="2"/>
  <c r="X59" i="2"/>
  <c r="U58" i="2"/>
  <c r="Z126" i="2"/>
  <c r="W125" i="2"/>
  <c r="Z22" i="2"/>
  <c r="W21" i="2"/>
  <c r="X110" i="2"/>
  <c r="U109" i="2"/>
  <c r="Z114" i="2"/>
  <c r="W113" i="2"/>
  <c r="Z86" i="2"/>
  <c r="W85" i="2"/>
  <c r="Z130" i="2"/>
  <c r="W129" i="2"/>
  <c r="X83" i="2"/>
  <c r="U82" i="2"/>
  <c r="Z62" i="2"/>
  <c r="W61" i="2"/>
  <c r="Z61" i="2"/>
  <c r="W60" i="2"/>
  <c r="Z45" i="2"/>
  <c r="W44" i="2"/>
  <c r="Z77" i="2"/>
  <c r="W76" i="2"/>
  <c r="Z118" i="2"/>
  <c r="W117" i="2"/>
  <c r="Z59" i="2"/>
  <c r="W58" i="2"/>
  <c r="Z57" i="2"/>
  <c r="W56" i="2"/>
  <c r="Z25" i="2"/>
  <c r="W24" i="2"/>
  <c r="X119" i="2"/>
  <c r="U118" i="2"/>
  <c r="Z19" i="2"/>
  <c r="W18" i="2"/>
  <c r="X43" i="2"/>
  <c r="U42" i="2"/>
  <c r="X15" i="2"/>
  <c r="U14" i="2"/>
  <c r="X122" i="2"/>
  <c r="U121" i="2"/>
  <c r="Z113" i="2"/>
  <c r="W112" i="2"/>
  <c r="Z29" i="2"/>
  <c r="W28" i="2"/>
  <c r="X94" i="2"/>
  <c r="U93" i="2"/>
  <c r="X55" i="2"/>
  <c r="U54" i="2"/>
  <c r="Z17" i="2"/>
  <c r="W16" i="2"/>
  <c r="F10" i="3"/>
  <c r="E10" i="3"/>
  <c r="G10" i="3" s="1"/>
  <c r="C12" i="3"/>
  <c r="D11" i="3"/>
  <c r="U135" i="2" l="1"/>
  <c r="U136" i="2" s="1"/>
  <c r="U138" i="2" s="1"/>
  <c r="Z16" i="2"/>
  <c r="W15" i="2"/>
  <c r="AB48" i="2"/>
  <c r="Y47" i="2"/>
  <c r="AB67" i="2"/>
  <c r="Y66" i="2"/>
  <c r="Z88" i="2"/>
  <c r="W87" i="2"/>
  <c r="AB44" i="2"/>
  <c r="Y43" i="2"/>
  <c r="Z128" i="2"/>
  <c r="W127" i="2"/>
  <c r="AB83" i="2"/>
  <c r="Y82" i="2"/>
  <c r="Z119" i="2"/>
  <c r="W118" i="2"/>
  <c r="AB95" i="2"/>
  <c r="Y94" i="2"/>
  <c r="AB103" i="2"/>
  <c r="Y102" i="2"/>
  <c r="Z64" i="2"/>
  <c r="W63" i="2"/>
  <c r="Z80" i="2"/>
  <c r="W79" i="2"/>
  <c r="Z116" i="2"/>
  <c r="W115" i="2"/>
  <c r="Z103" i="2"/>
  <c r="W102" i="2"/>
  <c r="AB99" i="2"/>
  <c r="Y98" i="2"/>
  <c r="AB15" i="2"/>
  <c r="Y14" i="2"/>
  <c r="AB74" i="2"/>
  <c r="Y73" i="2"/>
  <c r="Z48" i="2"/>
  <c r="W47" i="2"/>
  <c r="Z76" i="2"/>
  <c r="W75" i="2"/>
  <c r="AB76" i="2"/>
  <c r="Y75" i="2"/>
  <c r="Z111" i="2"/>
  <c r="W110" i="2"/>
  <c r="AB98" i="2"/>
  <c r="Y97" i="2"/>
  <c r="AB46" i="2"/>
  <c r="Y45" i="2"/>
  <c r="AB106" i="2"/>
  <c r="Y105" i="2"/>
  <c r="Z127" i="2"/>
  <c r="W126" i="2"/>
  <c r="AB13" i="2"/>
  <c r="Y12" i="2"/>
  <c r="AB19" i="2"/>
  <c r="Y18" i="2"/>
  <c r="AB26" i="2"/>
  <c r="Y25" i="2"/>
  <c r="AB70" i="2"/>
  <c r="Y69" i="2"/>
  <c r="AB107" i="2"/>
  <c r="Y106" i="2"/>
  <c r="AB18" i="2"/>
  <c r="Y17" i="2"/>
  <c r="AB114" i="2"/>
  <c r="Y113" i="2"/>
  <c r="AB20" i="2"/>
  <c r="Y19" i="2"/>
  <c r="AB60" i="2"/>
  <c r="Y59" i="2"/>
  <c r="AB62" i="2"/>
  <c r="Y61" i="2"/>
  <c r="AB87" i="2"/>
  <c r="Y86" i="2"/>
  <c r="AB127" i="2"/>
  <c r="Y126" i="2"/>
  <c r="AB102" i="2"/>
  <c r="Y101" i="2"/>
  <c r="AB88" i="2"/>
  <c r="Y87" i="2"/>
  <c r="AB122" i="2"/>
  <c r="Y121" i="2"/>
  <c r="AB51" i="2"/>
  <c r="Y50" i="2"/>
  <c r="AB75" i="2"/>
  <c r="Y74" i="2"/>
  <c r="AB86" i="2"/>
  <c r="Y85" i="2"/>
  <c r="Z72" i="2"/>
  <c r="W71" i="2"/>
  <c r="Z108" i="2"/>
  <c r="W107" i="2"/>
  <c r="AB111" i="2"/>
  <c r="Y110" i="2"/>
  <c r="AB40" i="2"/>
  <c r="Y39" i="2"/>
  <c r="AB94" i="2"/>
  <c r="Y93" i="2"/>
  <c r="Z28" i="2"/>
  <c r="W27" i="2"/>
  <c r="Z92" i="2"/>
  <c r="W91" i="2"/>
  <c r="Z20" i="2"/>
  <c r="W19" i="2"/>
  <c r="AB22" i="2"/>
  <c r="Y21" i="2"/>
  <c r="Z40" i="2"/>
  <c r="W39" i="2"/>
  <c r="AB50" i="2"/>
  <c r="Y49" i="2"/>
  <c r="AB27" i="2"/>
  <c r="Y26" i="2"/>
  <c r="Z32" i="2"/>
  <c r="W31" i="2"/>
  <c r="AB42" i="2"/>
  <c r="Y41" i="2"/>
  <c r="AB59" i="2"/>
  <c r="Y58" i="2"/>
  <c r="AB24" i="2"/>
  <c r="Y23" i="2"/>
  <c r="AB123" i="2"/>
  <c r="Y122" i="2"/>
  <c r="AB54" i="2"/>
  <c r="Y53" i="2"/>
  <c r="AB64" i="2"/>
  <c r="Y63" i="2"/>
  <c r="AB14" i="2"/>
  <c r="Y13" i="2"/>
  <c r="Z44" i="2"/>
  <c r="W43" i="2"/>
  <c r="AB58" i="2"/>
  <c r="Y57" i="2"/>
  <c r="AB80" i="2"/>
  <c r="Y79" i="2"/>
  <c r="Z107" i="2"/>
  <c r="W106" i="2"/>
  <c r="AB118" i="2"/>
  <c r="Y117" i="2"/>
  <c r="AB47" i="2"/>
  <c r="Y46" i="2"/>
  <c r="AB110" i="2"/>
  <c r="Y109" i="2"/>
  <c r="AB36" i="2"/>
  <c r="Y35" i="2"/>
  <c r="AB72" i="2"/>
  <c r="Y71" i="2"/>
  <c r="AB68" i="2"/>
  <c r="Y67" i="2"/>
  <c r="AB35" i="2"/>
  <c r="Y34" i="2"/>
  <c r="AB78" i="2"/>
  <c r="Y77" i="2"/>
  <c r="Z96" i="2"/>
  <c r="W95" i="2"/>
  <c r="AB23" i="2"/>
  <c r="Y22" i="2"/>
  <c r="AB43" i="2"/>
  <c r="Y42" i="2"/>
  <c r="Z132" i="2"/>
  <c r="W131" i="2"/>
  <c r="AB82" i="2"/>
  <c r="Y81" i="2"/>
  <c r="Z99" i="2"/>
  <c r="W98" i="2"/>
  <c r="Z56" i="2"/>
  <c r="W55" i="2"/>
  <c r="Z123" i="2"/>
  <c r="W122" i="2"/>
  <c r="Z120" i="2"/>
  <c r="W119" i="2"/>
  <c r="AB119" i="2"/>
  <c r="Y118" i="2"/>
  <c r="AB63" i="2"/>
  <c r="Y62" i="2"/>
  <c r="AB115" i="2"/>
  <c r="Y114" i="2"/>
  <c r="Z60" i="2"/>
  <c r="W59" i="2"/>
  <c r="AB32" i="2"/>
  <c r="Y31" i="2"/>
  <c r="Z131" i="2"/>
  <c r="W130" i="2"/>
  <c r="AB56" i="2"/>
  <c r="Y55" i="2"/>
  <c r="Z24" i="2"/>
  <c r="W23" i="2"/>
  <c r="AB55" i="2"/>
  <c r="Y54" i="2"/>
  <c r="AB66" i="2"/>
  <c r="Y65" i="2"/>
  <c r="AB71" i="2"/>
  <c r="Y70" i="2"/>
  <c r="Z124" i="2"/>
  <c r="W123" i="2"/>
  <c r="AB90" i="2"/>
  <c r="Y89" i="2"/>
  <c r="AB38" i="2"/>
  <c r="Y37" i="2"/>
  <c r="Z36" i="2"/>
  <c r="W35" i="2"/>
  <c r="AB130" i="2"/>
  <c r="Y129" i="2"/>
  <c r="AB52" i="2"/>
  <c r="Y51" i="2"/>
  <c r="Z112" i="2"/>
  <c r="W111" i="2"/>
  <c r="AB126" i="2"/>
  <c r="Y125" i="2"/>
  <c r="Z104" i="2"/>
  <c r="W103" i="2"/>
  <c r="Z68" i="2"/>
  <c r="W67" i="2"/>
  <c r="Z91" i="2"/>
  <c r="W90" i="2"/>
  <c r="Z100" i="2"/>
  <c r="W99" i="2"/>
  <c r="AB16" i="2"/>
  <c r="Y15" i="2"/>
  <c r="AB34" i="2"/>
  <c r="Y33" i="2"/>
  <c r="AB79" i="2"/>
  <c r="Y78" i="2"/>
  <c r="AB91" i="2"/>
  <c r="Y90" i="2"/>
  <c r="AB28" i="2"/>
  <c r="Y27" i="2"/>
  <c r="Z95" i="2"/>
  <c r="W94" i="2"/>
  <c r="Z84" i="2"/>
  <c r="W83" i="2"/>
  <c r="Z52" i="2"/>
  <c r="W51" i="2"/>
  <c r="AB30" i="2"/>
  <c r="Y29" i="2"/>
  <c r="AB131" i="2"/>
  <c r="Y130" i="2"/>
  <c r="Z115" i="2"/>
  <c r="W114" i="2"/>
  <c r="AB84" i="2"/>
  <c r="Y83" i="2"/>
  <c r="AB31" i="2"/>
  <c r="Y30" i="2"/>
  <c r="AB39" i="2"/>
  <c r="Y38" i="2"/>
  <c r="C13" i="3"/>
  <c r="D12" i="3"/>
  <c r="E11" i="3"/>
  <c r="G11" i="3" s="1"/>
  <c r="F11" i="3"/>
  <c r="W135" i="2" l="1"/>
  <c r="W136" i="2" s="1"/>
  <c r="W138" i="2" s="1"/>
  <c r="AD31" i="2"/>
  <c r="AA30" i="2"/>
  <c r="AB125" i="2"/>
  <c r="Y124" i="2"/>
  <c r="AD83" i="2"/>
  <c r="AA82" i="2"/>
  <c r="AB45" i="2"/>
  <c r="Y44" i="2"/>
  <c r="AB73" i="2"/>
  <c r="Y72" i="2"/>
  <c r="AD115" i="2"/>
  <c r="AA114" i="2"/>
  <c r="AD27" i="2"/>
  <c r="AA26" i="2"/>
  <c r="AD77" i="2"/>
  <c r="AA76" i="2"/>
  <c r="AD16" i="2"/>
  <c r="AA15" i="2"/>
  <c r="AB81" i="2"/>
  <c r="Y80" i="2"/>
  <c r="AB120" i="2"/>
  <c r="Y119" i="2"/>
  <c r="AB89" i="2"/>
  <c r="Y88" i="2"/>
  <c r="AD29" i="2"/>
  <c r="AA28" i="2"/>
  <c r="AB25" i="2"/>
  <c r="Y24" i="2"/>
  <c r="AD119" i="2"/>
  <c r="AA118" i="2"/>
  <c r="AD123" i="2"/>
  <c r="AA122" i="2"/>
  <c r="AD85" i="2"/>
  <c r="AA84" i="2"/>
  <c r="AD92" i="2"/>
  <c r="AA91" i="2"/>
  <c r="AD72" i="2"/>
  <c r="AA71" i="2"/>
  <c r="AB124" i="2"/>
  <c r="Y123" i="2"/>
  <c r="AD79" i="2"/>
  <c r="AA78" i="2"/>
  <c r="AB108" i="2"/>
  <c r="Y107" i="2"/>
  <c r="AD25" i="2"/>
  <c r="AA24" i="2"/>
  <c r="AB21" i="2"/>
  <c r="Y20" i="2"/>
  <c r="AD87" i="2"/>
  <c r="AA86" i="2"/>
  <c r="AD19" i="2"/>
  <c r="AA18" i="2"/>
  <c r="AB77" i="2"/>
  <c r="Y76" i="2"/>
  <c r="AD100" i="2"/>
  <c r="AA99" i="2"/>
  <c r="AB65" i="2"/>
  <c r="Y64" i="2"/>
  <c r="AD84" i="2"/>
  <c r="AA83" i="2"/>
  <c r="AD68" i="2"/>
  <c r="AA67" i="2"/>
  <c r="AD32" i="2"/>
  <c r="AA31" i="2"/>
  <c r="AD131" i="2"/>
  <c r="AA130" i="2"/>
  <c r="AB97" i="2"/>
  <c r="Y96" i="2"/>
  <c r="AD95" i="2"/>
  <c r="AA94" i="2"/>
  <c r="AB53" i="2"/>
  <c r="Y52" i="2"/>
  <c r="AB101" i="2"/>
  <c r="Y100" i="2"/>
  <c r="AD116" i="2"/>
  <c r="AA115" i="2"/>
  <c r="AB133" i="2"/>
  <c r="AA133" i="2" s="1"/>
  <c r="Y132" i="2"/>
  <c r="AD37" i="2"/>
  <c r="AA36" i="2"/>
  <c r="AD15" i="2"/>
  <c r="AA14" i="2"/>
  <c r="AD28" i="2"/>
  <c r="AA27" i="2"/>
  <c r="AD41" i="2"/>
  <c r="AA40" i="2"/>
  <c r="AD89" i="2"/>
  <c r="AA88" i="2"/>
  <c r="AD63" i="2"/>
  <c r="AA62" i="2"/>
  <c r="AD20" i="2"/>
  <c r="AA19" i="2"/>
  <c r="AD47" i="2"/>
  <c r="AA46" i="2"/>
  <c r="AB116" i="2"/>
  <c r="Y115" i="2"/>
  <c r="AB85" i="2"/>
  <c r="Y84" i="2"/>
  <c r="AD80" i="2"/>
  <c r="AA79" i="2"/>
  <c r="AB92" i="2"/>
  <c r="Y91" i="2"/>
  <c r="AB113" i="2"/>
  <c r="Y112" i="2"/>
  <c r="AD39" i="2"/>
  <c r="AA38" i="2"/>
  <c r="AD67" i="2"/>
  <c r="AA66" i="2"/>
  <c r="AB132" i="2"/>
  <c r="Y131" i="2"/>
  <c r="AD64" i="2"/>
  <c r="AA63" i="2"/>
  <c r="AB57" i="2"/>
  <c r="Y56" i="2"/>
  <c r="AD44" i="2"/>
  <c r="AA43" i="2"/>
  <c r="AD36" i="2"/>
  <c r="AA35" i="2"/>
  <c r="AD111" i="2"/>
  <c r="AA110" i="2"/>
  <c r="AD81" i="2"/>
  <c r="AA80" i="2"/>
  <c r="AD65" i="2"/>
  <c r="AA64" i="2"/>
  <c r="AD60" i="2"/>
  <c r="AA59" i="2"/>
  <c r="AD51" i="2"/>
  <c r="AA50" i="2"/>
  <c r="AB93" i="2"/>
  <c r="Y92" i="2"/>
  <c r="AD112" i="2"/>
  <c r="AA111" i="2"/>
  <c r="AD76" i="2"/>
  <c r="AA75" i="2"/>
  <c r="AD103" i="2"/>
  <c r="AA102" i="2"/>
  <c r="AD61" i="2"/>
  <c r="AA60" i="2"/>
  <c r="AD108" i="2"/>
  <c r="AA107" i="2"/>
  <c r="AD14" i="2"/>
  <c r="AA13" i="2"/>
  <c r="AD99" i="2"/>
  <c r="AA98" i="2"/>
  <c r="AD17" i="2"/>
  <c r="AA16" i="2"/>
  <c r="AB121" i="2"/>
  <c r="Y120" i="2"/>
  <c r="AB33" i="2"/>
  <c r="Y32" i="2"/>
  <c r="AD107" i="2"/>
  <c r="AA106" i="2"/>
  <c r="AD57" i="2"/>
  <c r="AA56" i="2"/>
  <c r="AB49" i="2"/>
  <c r="Y48" i="2"/>
  <c r="AB104" i="2"/>
  <c r="Y103" i="2"/>
  <c r="AD104" i="2"/>
  <c r="AA103" i="2"/>
  <c r="AB129" i="2"/>
  <c r="Y128" i="2"/>
  <c r="AD49" i="2"/>
  <c r="AA48" i="2"/>
  <c r="AB105" i="2"/>
  <c r="Y104" i="2"/>
  <c r="AB61" i="2"/>
  <c r="Y60" i="2"/>
  <c r="AD73" i="2"/>
  <c r="AA72" i="2"/>
  <c r="AD124" i="2"/>
  <c r="AA123" i="2"/>
  <c r="AD88" i="2"/>
  <c r="AA87" i="2"/>
  <c r="AD127" i="2"/>
  <c r="AA126" i="2"/>
  <c r="AD40" i="2"/>
  <c r="AA39" i="2"/>
  <c r="AD132" i="2"/>
  <c r="AA131" i="2"/>
  <c r="AB96" i="2"/>
  <c r="Y95" i="2"/>
  <c r="AD35" i="2"/>
  <c r="AA34" i="2"/>
  <c r="AB69" i="2"/>
  <c r="Y68" i="2"/>
  <c r="AD53" i="2"/>
  <c r="AA52" i="2"/>
  <c r="AD91" i="2"/>
  <c r="AA90" i="2"/>
  <c r="AD56" i="2"/>
  <c r="AA55" i="2"/>
  <c r="AD33" i="2"/>
  <c r="AA32" i="2"/>
  <c r="AD120" i="2"/>
  <c r="AA119" i="2"/>
  <c r="AB100" i="2"/>
  <c r="Y99" i="2"/>
  <c r="AD24" i="2"/>
  <c r="AA23" i="2"/>
  <c r="AD69" i="2"/>
  <c r="AA68" i="2"/>
  <c r="AD48" i="2"/>
  <c r="AA47" i="2"/>
  <c r="AD59" i="2"/>
  <c r="AA58" i="2"/>
  <c r="AD55" i="2"/>
  <c r="AA54" i="2"/>
  <c r="AD43" i="2"/>
  <c r="AA42" i="2"/>
  <c r="AB41" i="2"/>
  <c r="Y40" i="2"/>
  <c r="AB29" i="2"/>
  <c r="Y28" i="2"/>
  <c r="AB109" i="2"/>
  <c r="Y108" i="2"/>
  <c r="AD52" i="2"/>
  <c r="AA51" i="2"/>
  <c r="AD128" i="2"/>
  <c r="AA127" i="2"/>
  <c r="AD21" i="2"/>
  <c r="AA20" i="2"/>
  <c r="AD71" i="2"/>
  <c r="AA70" i="2"/>
  <c r="AB128" i="2"/>
  <c r="Y127" i="2"/>
  <c r="AB112" i="2"/>
  <c r="Y111" i="2"/>
  <c r="AD23" i="2"/>
  <c r="AA22" i="2"/>
  <c r="AB37" i="2"/>
  <c r="Y36" i="2"/>
  <c r="AD75" i="2"/>
  <c r="AA74" i="2"/>
  <c r="AB117" i="2"/>
  <c r="Y116" i="2"/>
  <c r="AD96" i="2"/>
  <c r="AA95" i="2"/>
  <c r="AD45" i="2"/>
  <c r="AA44" i="2"/>
  <c r="AB17" i="2"/>
  <c r="Y16" i="2"/>
  <c r="F12" i="3"/>
  <c r="E12" i="3"/>
  <c r="G12" i="3" s="1"/>
  <c r="C14" i="3"/>
  <c r="D13" i="3"/>
  <c r="Y135" i="2" l="1"/>
  <c r="Y136" i="2" s="1"/>
  <c r="Y138" i="2" s="1"/>
  <c r="AD109" i="2"/>
  <c r="AA108" i="2"/>
  <c r="AD26" i="2"/>
  <c r="AA25" i="2"/>
  <c r="AD126" i="2"/>
  <c r="AA125" i="2"/>
  <c r="AD18" i="2"/>
  <c r="AA17" i="2"/>
  <c r="AF76" i="2"/>
  <c r="AC75" i="2"/>
  <c r="AD129" i="2"/>
  <c r="AA128" i="2"/>
  <c r="AF44" i="2"/>
  <c r="AC43" i="2"/>
  <c r="AF70" i="2"/>
  <c r="AC69" i="2"/>
  <c r="AF34" i="2"/>
  <c r="AC33" i="2"/>
  <c r="AF41" i="2"/>
  <c r="AC40" i="2"/>
  <c r="AF74" i="2"/>
  <c r="AC73" i="2"/>
  <c r="AF58" i="2"/>
  <c r="AC57" i="2"/>
  <c r="AF18" i="2"/>
  <c r="AC17" i="2"/>
  <c r="AD94" i="2"/>
  <c r="AA93" i="2"/>
  <c r="AF82" i="2"/>
  <c r="AC81" i="2"/>
  <c r="AF40" i="2"/>
  <c r="AC39" i="2"/>
  <c r="AF64" i="2"/>
  <c r="AC63" i="2"/>
  <c r="AD102" i="2"/>
  <c r="AA101" i="2"/>
  <c r="AF46" i="2"/>
  <c r="AC45" i="2"/>
  <c r="AD38" i="2"/>
  <c r="AA37" i="2"/>
  <c r="AF72" i="2"/>
  <c r="AC71" i="2"/>
  <c r="AD110" i="2"/>
  <c r="AA109" i="2"/>
  <c r="AF56" i="2"/>
  <c r="AC55" i="2"/>
  <c r="AF25" i="2"/>
  <c r="AC24" i="2"/>
  <c r="AF57" i="2"/>
  <c r="AC56" i="2"/>
  <c r="AF36" i="2"/>
  <c r="AC35" i="2"/>
  <c r="AF128" i="2"/>
  <c r="AC127" i="2"/>
  <c r="AD62" i="2"/>
  <c r="AA61" i="2"/>
  <c r="AF105" i="2"/>
  <c r="AC104" i="2"/>
  <c r="AF108" i="2"/>
  <c r="AC107" i="2"/>
  <c r="AF100" i="2"/>
  <c r="AC99" i="2"/>
  <c r="AF104" i="2"/>
  <c r="AC103" i="2"/>
  <c r="AF52" i="2"/>
  <c r="AC51" i="2"/>
  <c r="AF112" i="2"/>
  <c r="AC111" i="2"/>
  <c r="AF65" i="2"/>
  <c r="AC64" i="2"/>
  <c r="AD114" i="2"/>
  <c r="AA113" i="2"/>
  <c r="AD117" i="2"/>
  <c r="AA116" i="2"/>
  <c r="AF90" i="2"/>
  <c r="AC89" i="2"/>
  <c r="AF38" i="2"/>
  <c r="AC37" i="2"/>
  <c r="AD54" i="2"/>
  <c r="AA53" i="2"/>
  <c r="AF33" i="2"/>
  <c r="AC32" i="2"/>
  <c r="AF101" i="2"/>
  <c r="AC100" i="2"/>
  <c r="AD22" i="2"/>
  <c r="AA21" i="2"/>
  <c r="AF124" i="2"/>
  <c r="AC123" i="2"/>
  <c r="AF78" i="2"/>
  <c r="AC77" i="2"/>
  <c r="AF22" i="2"/>
  <c r="AC21" i="2"/>
  <c r="AD97" i="2"/>
  <c r="AA96" i="2"/>
  <c r="AD105" i="2"/>
  <c r="AA104" i="2"/>
  <c r="AF77" i="2"/>
  <c r="AC76" i="2"/>
  <c r="AF37" i="2"/>
  <c r="AC36" i="2"/>
  <c r="AD78" i="2"/>
  <c r="AA77" i="2"/>
  <c r="AF26" i="2"/>
  <c r="AC25" i="2"/>
  <c r="AF73" i="2"/>
  <c r="AC72" i="2"/>
  <c r="AF120" i="2"/>
  <c r="AC119" i="2"/>
  <c r="AD121" i="2"/>
  <c r="AA120" i="2"/>
  <c r="AF28" i="2"/>
  <c r="AC27" i="2"/>
  <c r="AF84" i="2"/>
  <c r="AC83" i="2"/>
  <c r="AD125" i="2"/>
  <c r="AA124" i="2"/>
  <c r="AD90" i="2"/>
  <c r="AA89" i="2"/>
  <c r="AD46" i="2"/>
  <c r="AA45" i="2"/>
  <c r="AF97" i="2"/>
  <c r="AC96" i="2"/>
  <c r="AF24" i="2"/>
  <c r="AC23" i="2"/>
  <c r="AD30" i="2"/>
  <c r="AA29" i="2"/>
  <c r="AF60" i="2"/>
  <c r="AC59" i="2"/>
  <c r="AD101" i="2"/>
  <c r="AA100" i="2"/>
  <c r="AF92" i="2"/>
  <c r="AC91" i="2"/>
  <c r="AF89" i="2"/>
  <c r="AC88" i="2"/>
  <c r="AD106" i="2"/>
  <c r="AA105" i="2"/>
  <c r="AD34" i="2"/>
  <c r="AA33" i="2"/>
  <c r="AF15" i="2"/>
  <c r="AC14" i="2"/>
  <c r="AF61" i="2"/>
  <c r="AC60" i="2"/>
  <c r="AD133" i="2"/>
  <c r="AC133" i="2" s="1"/>
  <c r="AA132" i="2"/>
  <c r="AD93" i="2"/>
  <c r="AA92" i="2"/>
  <c r="AF48" i="2"/>
  <c r="AC47" i="2"/>
  <c r="AF42" i="2"/>
  <c r="AC41" i="2"/>
  <c r="AF96" i="2"/>
  <c r="AC95" i="2"/>
  <c r="AF69" i="2"/>
  <c r="AC68" i="2"/>
  <c r="AD118" i="2"/>
  <c r="AA117" i="2"/>
  <c r="AD113" i="2"/>
  <c r="AA112" i="2"/>
  <c r="AF129" i="2"/>
  <c r="AC128" i="2"/>
  <c r="AD42" i="2"/>
  <c r="AA41" i="2"/>
  <c r="AF49" i="2"/>
  <c r="AC48" i="2"/>
  <c r="AF121" i="2"/>
  <c r="AC120" i="2"/>
  <c r="AF54" i="2"/>
  <c r="AC53" i="2"/>
  <c r="AF133" i="2"/>
  <c r="AE133" i="2" s="1"/>
  <c r="AC132" i="2"/>
  <c r="AF125" i="2"/>
  <c r="AC124" i="2"/>
  <c r="AF50" i="2"/>
  <c r="AC49" i="2"/>
  <c r="AD50" i="2"/>
  <c r="AA49" i="2"/>
  <c r="AD122" i="2"/>
  <c r="AA121" i="2"/>
  <c r="AF109" i="2"/>
  <c r="AC108" i="2"/>
  <c r="AF113" i="2"/>
  <c r="AC112" i="2"/>
  <c r="AF66" i="2"/>
  <c r="AC65" i="2"/>
  <c r="AF45" i="2"/>
  <c r="AC44" i="2"/>
  <c r="AF68" i="2"/>
  <c r="AC67" i="2"/>
  <c r="AF81" i="2"/>
  <c r="AC80" i="2"/>
  <c r="AF21" i="2"/>
  <c r="AC20" i="2"/>
  <c r="AF29" i="2"/>
  <c r="AC28" i="2"/>
  <c r="AF117" i="2"/>
  <c r="AC116" i="2"/>
  <c r="AD98" i="2"/>
  <c r="AA97" i="2"/>
  <c r="AF85" i="2"/>
  <c r="AC84" i="2"/>
  <c r="AF20" i="2"/>
  <c r="AC19" i="2"/>
  <c r="AF93" i="2"/>
  <c r="AC92" i="2"/>
  <c r="AD82" i="2"/>
  <c r="AA81" i="2"/>
  <c r="AF116" i="2"/>
  <c r="AC115" i="2"/>
  <c r="AF53" i="2"/>
  <c r="AC52" i="2"/>
  <c r="AD70" i="2"/>
  <c r="AA69" i="2"/>
  <c r="AD130" i="2"/>
  <c r="AA129" i="2"/>
  <c r="AF62" i="2"/>
  <c r="AC61" i="2"/>
  <c r="AD58" i="2"/>
  <c r="AA57" i="2"/>
  <c r="AD86" i="2"/>
  <c r="AA85" i="2"/>
  <c r="AF16" i="2"/>
  <c r="AC15" i="2"/>
  <c r="AF132" i="2"/>
  <c r="AC131" i="2"/>
  <c r="AD66" i="2"/>
  <c r="AA65" i="2"/>
  <c r="AF88" i="2"/>
  <c r="AC87" i="2"/>
  <c r="AF80" i="2"/>
  <c r="AC79" i="2"/>
  <c r="AF86" i="2"/>
  <c r="AC85" i="2"/>
  <c r="AF30" i="2"/>
  <c r="AC29" i="2"/>
  <c r="AF17" i="2"/>
  <c r="AC16" i="2"/>
  <c r="AD74" i="2"/>
  <c r="AA73" i="2"/>
  <c r="AF32" i="2"/>
  <c r="AC31" i="2"/>
  <c r="F13" i="3"/>
  <c r="E13" i="3"/>
  <c r="G13" i="3" s="1"/>
  <c r="C15" i="3"/>
  <c r="D14" i="3"/>
  <c r="AA135" i="2" l="1"/>
  <c r="AA136" i="2" s="1"/>
  <c r="AA138" i="2" s="1"/>
  <c r="AH31" i="2"/>
  <c r="AE30" i="2"/>
  <c r="AF59" i="2"/>
  <c r="AC58" i="2"/>
  <c r="AF35" i="2"/>
  <c r="AC34" i="2"/>
  <c r="AH74" i="2"/>
  <c r="AE73" i="2"/>
  <c r="AH34" i="2"/>
  <c r="AE33" i="2"/>
  <c r="AH106" i="2"/>
  <c r="AE105" i="2"/>
  <c r="AH65" i="2"/>
  <c r="AE64" i="2"/>
  <c r="AH77" i="2"/>
  <c r="AE76" i="2"/>
  <c r="AH87" i="2"/>
  <c r="AE86" i="2"/>
  <c r="AH63" i="2"/>
  <c r="AE62" i="2"/>
  <c r="AH86" i="2"/>
  <c r="AE85" i="2"/>
  <c r="AH67" i="2"/>
  <c r="AE66" i="2"/>
  <c r="AF51" i="2"/>
  <c r="AC50" i="2"/>
  <c r="AH55" i="2"/>
  <c r="AE54" i="2"/>
  <c r="AH130" i="2"/>
  <c r="AE129" i="2"/>
  <c r="AH97" i="2"/>
  <c r="AE96" i="2"/>
  <c r="AF107" i="2"/>
  <c r="AC106" i="2"/>
  <c r="AH61" i="2"/>
  <c r="AE60" i="2"/>
  <c r="AF47" i="2"/>
  <c r="AC46" i="2"/>
  <c r="AH29" i="2"/>
  <c r="AE28" i="2"/>
  <c r="AH27" i="2"/>
  <c r="AE26" i="2"/>
  <c r="AF106" i="2"/>
  <c r="AC105" i="2"/>
  <c r="AH125" i="2"/>
  <c r="AE124" i="2"/>
  <c r="AF55" i="2"/>
  <c r="AC54" i="2"/>
  <c r="AF115" i="2"/>
  <c r="AC114" i="2"/>
  <c r="AH105" i="2"/>
  <c r="AE104" i="2"/>
  <c r="AF63" i="2"/>
  <c r="AC62" i="2"/>
  <c r="AH26" i="2"/>
  <c r="AE25" i="2"/>
  <c r="AF39" i="2"/>
  <c r="AC38" i="2"/>
  <c r="AH41" i="2"/>
  <c r="AE40" i="2"/>
  <c r="AH59" i="2"/>
  <c r="AE58" i="2"/>
  <c r="AH71" i="2"/>
  <c r="AE70" i="2"/>
  <c r="AF19" i="2"/>
  <c r="AC18" i="2"/>
  <c r="AF123" i="2"/>
  <c r="AC122" i="2"/>
  <c r="AH78" i="2"/>
  <c r="AE77" i="2"/>
  <c r="AH21" i="2"/>
  <c r="AE20" i="2"/>
  <c r="AF43" i="2"/>
  <c r="AC42" i="2"/>
  <c r="AF102" i="2"/>
  <c r="AC101" i="2"/>
  <c r="AH58" i="2"/>
  <c r="AE57" i="2"/>
  <c r="AH19" i="2"/>
  <c r="AE18" i="2"/>
  <c r="AH33" i="2"/>
  <c r="AE32" i="2"/>
  <c r="AH117" i="2"/>
  <c r="AE116" i="2"/>
  <c r="AF83" i="2"/>
  <c r="AC82" i="2"/>
  <c r="AF31" i="2"/>
  <c r="AC30" i="2"/>
  <c r="AH39" i="2"/>
  <c r="AE38" i="2"/>
  <c r="AH66" i="2"/>
  <c r="AE65" i="2"/>
  <c r="AH101" i="2"/>
  <c r="AE100" i="2"/>
  <c r="AH129" i="2"/>
  <c r="AE128" i="2"/>
  <c r="AH57" i="2"/>
  <c r="AE56" i="2"/>
  <c r="AH47" i="2"/>
  <c r="AE46" i="2"/>
  <c r="AH83" i="2"/>
  <c r="AE82" i="2"/>
  <c r="AH75" i="2"/>
  <c r="AE74" i="2"/>
  <c r="AH45" i="2"/>
  <c r="AE44" i="2"/>
  <c r="AF127" i="2"/>
  <c r="AC126" i="2"/>
  <c r="AH54" i="2"/>
  <c r="AE53" i="2"/>
  <c r="AH46" i="2"/>
  <c r="AE45" i="2"/>
  <c r="AH70" i="2"/>
  <c r="AE69" i="2"/>
  <c r="AH98" i="2"/>
  <c r="AE97" i="2"/>
  <c r="AH53" i="2"/>
  <c r="AE52" i="2"/>
  <c r="AH73" i="2"/>
  <c r="AE72" i="2"/>
  <c r="AH35" i="2"/>
  <c r="AE34" i="2"/>
  <c r="AH133" i="2"/>
  <c r="AG133" i="2" s="1"/>
  <c r="AE132" i="2"/>
  <c r="AH22" i="2"/>
  <c r="AE21" i="2"/>
  <c r="AF75" i="2"/>
  <c r="AC74" i="2"/>
  <c r="AH81" i="2"/>
  <c r="AE80" i="2"/>
  <c r="AH17" i="2"/>
  <c r="AE16" i="2"/>
  <c r="AF131" i="2"/>
  <c r="AC130" i="2"/>
  <c r="AF99" i="2"/>
  <c r="AC98" i="2"/>
  <c r="AH82" i="2"/>
  <c r="AE81" i="2"/>
  <c r="AH114" i="2"/>
  <c r="AE113" i="2"/>
  <c r="AH51" i="2"/>
  <c r="AE50" i="2"/>
  <c r="AH122" i="2"/>
  <c r="AE121" i="2"/>
  <c r="AF114" i="2"/>
  <c r="AC113" i="2"/>
  <c r="AH43" i="2"/>
  <c r="AE42" i="2"/>
  <c r="AH62" i="2"/>
  <c r="AE61" i="2"/>
  <c r="AH90" i="2"/>
  <c r="AE89" i="2"/>
  <c r="AF91" i="2"/>
  <c r="AC90" i="2"/>
  <c r="AF122" i="2"/>
  <c r="AC121" i="2"/>
  <c r="AF79" i="2"/>
  <c r="AC78" i="2"/>
  <c r="AF98" i="2"/>
  <c r="AC97" i="2"/>
  <c r="AF23" i="2"/>
  <c r="AC22" i="2"/>
  <c r="AH18" i="2"/>
  <c r="AE17" i="2"/>
  <c r="AH89" i="2"/>
  <c r="AE88" i="2"/>
  <c r="AF87" i="2"/>
  <c r="AC86" i="2"/>
  <c r="AF71" i="2"/>
  <c r="AC70" i="2"/>
  <c r="AH94" i="2"/>
  <c r="AE93" i="2"/>
  <c r="AH118" i="2"/>
  <c r="AE117" i="2"/>
  <c r="AH69" i="2"/>
  <c r="AE68" i="2"/>
  <c r="AH110" i="2"/>
  <c r="AE109" i="2"/>
  <c r="AH126" i="2"/>
  <c r="AE125" i="2"/>
  <c r="AH50" i="2"/>
  <c r="AE49" i="2"/>
  <c r="AF119" i="2"/>
  <c r="AC118" i="2"/>
  <c r="AH49" i="2"/>
  <c r="AE48" i="2"/>
  <c r="AJ17" i="2"/>
  <c r="AI17" i="2" s="1"/>
  <c r="AE15" i="2"/>
  <c r="AH93" i="2"/>
  <c r="AE92" i="2"/>
  <c r="AH25" i="2"/>
  <c r="AE24" i="2"/>
  <c r="AF126" i="2"/>
  <c r="AC125" i="2"/>
  <c r="AH121" i="2"/>
  <c r="AE120" i="2"/>
  <c r="AH38" i="2"/>
  <c r="AE37" i="2"/>
  <c r="AH23" i="2"/>
  <c r="AE22" i="2"/>
  <c r="AH102" i="2"/>
  <c r="AE101" i="2"/>
  <c r="AH91" i="2"/>
  <c r="AE90" i="2"/>
  <c r="AH113" i="2"/>
  <c r="AE112" i="2"/>
  <c r="AH109" i="2"/>
  <c r="AE108" i="2"/>
  <c r="AH37" i="2"/>
  <c r="AE36" i="2"/>
  <c r="AF111" i="2"/>
  <c r="AC110" i="2"/>
  <c r="AF103" i="2"/>
  <c r="AC102" i="2"/>
  <c r="AF95" i="2"/>
  <c r="AC94" i="2"/>
  <c r="AH42" i="2"/>
  <c r="AE41" i="2"/>
  <c r="AF130" i="2"/>
  <c r="AC129" i="2"/>
  <c r="AF27" i="2"/>
  <c r="AC26" i="2"/>
  <c r="AH30" i="2"/>
  <c r="AE29" i="2"/>
  <c r="AH85" i="2"/>
  <c r="AE84" i="2"/>
  <c r="AF67" i="2"/>
  <c r="AC66" i="2"/>
  <c r="AF94" i="2"/>
  <c r="AC93" i="2"/>
  <c r="AH79" i="2"/>
  <c r="AE78" i="2"/>
  <c r="AF118" i="2"/>
  <c r="AC117" i="2"/>
  <c r="AF110" i="2"/>
  <c r="AC109" i="2"/>
  <c r="F14" i="3"/>
  <c r="E14" i="3"/>
  <c r="G14" i="3" s="1"/>
  <c r="C16" i="3"/>
  <c r="D15" i="3"/>
  <c r="AC135" i="2" l="1"/>
  <c r="AC136" i="2" s="1"/>
  <c r="AC138" i="2" s="1"/>
  <c r="AJ118" i="2"/>
  <c r="AI118" i="2" s="1"/>
  <c r="AG117" i="2"/>
  <c r="AH103" i="2"/>
  <c r="AE102" i="2"/>
  <c r="AH124" i="2"/>
  <c r="AE123" i="2"/>
  <c r="AJ42" i="2"/>
  <c r="AI42" i="2" s="1"/>
  <c r="AG41" i="2"/>
  <c r="AJ106" i="2"/>
  <c r="AI106" i="2" s="1"/>
  <c r="AG105" i="2"/>
  <c r="AH107" i="2"/>
  <c r="AE106" i="2"/>
  <c r="AJ62" i="2"/>
  <c r="AI62" i="2" s="1"/>
  <c r="AG61" i="2"/>
  <c r="AJ56" i="2"/>
  <c r="AI56" i="2" s="1"/>
  <c r="AG55" i="2"/>
  <c r="AJ64" i="2"/>
  <c r="AI64" i="2" s="1"/>
  <c r="AG63" i="2"/>
  <c r="AJ107" i="2"/>
  <c r="AI107" i="2" s="1"/>
  <c r="AG106" i="2"/>
  <c r="AH60" i="2"/>
  <c r="AE59" i="2"/>
  <c r="AH119" i="2"/>
  <c r="AE118" i="2"/>
  <c r="AJ86" i="2"/>
  <c r="AI86" i="2" s="1"/>
  <c r="AG85" i="2"/>
  <c r="AJ43" i="2"/>
  <c r="AI43" i="2" s="1"/>
  <c r="AG42" i="2"/>
  <c r="AJ38" i="2"/>
  <c r="AI38" i="2" s="1"/>
  <c r="AG37" i="2"/>
  <c r="AJ103" i="2"/>
  <c r="AI103" i="2" s="1"/>
  <c r="AG102" i="2"/>
  <c r="AH127" i="2"/>
  <c r="AE126" i="2"/>
  <c r="AJ50" i="2"/>
  <c r="AI50" i="2" s="1"/>
  <c r="AG49" i="2"/>
  <c r="AJ111" i="2"/>
  <c r="AI111" i="2" s="1"/>
  <c r="AG110" i="2"/>
  <c r="AH72" i="2"/>
  <c r="AE71" i="2"/>
  <c r="AH24" i="2"/>
  <c r="AE23" i="2"/>
  <c r="AH92" i="2"/>
  <c r="AE91" i="2"/>
  <c r="AH115" i="2"/>
  <c r="AE114" i="2"/>
  <c r="AJ83" i="2"/>
  <c r="AI83" i="2" s="1"/>
  <c r="AG82" i="2"/>
  <c r="AJ82" i="2"/>
  <c r="AI82" i="2" s="1"/>
  <c r="AG81" i="2"/>
  <c r="AJ36" i="2"/>
  <c r="AI36" i="2" s="1"/>
  <c r="AG35" i="2"/>
  <c r="AJ71" i="2"/>
  <c r="AI71" i="2" s="1"/>
  <c r="AG70" i="2"/>
  <c r="AJ46" i="2"/>
  <c r="AI46" i="2" s="1"/>
  <c r="AG45" i="2"/>
  <c r="AJ58" i="2"/>
  <c r="AI58" i="2" s="1"/>
  <c r="AG57" i="2"/>
  <c r="AJ40" i="2"/>
  <c r="AI40" i="2" s="1"/>
  <c r="AG39" i="2"/>
  <c r="AJ34" i="2"/>
  <c r="AI34" i="2" s="1"/>
  <c r="AG33" i="2"/>
  <c r="AH44" i="2"/>
  <c r="AE43" i="2"/>
  <c r="AH20" i="2"/>
  <c r="AE19" i="2"/>
  <c r="AH40" i="2"/>
  <c r="AE39" i="2"/>
  <c r="AH116" i="2"/>
  <c r="AE115" i="2"/>
  <c r="AJ28" i="2"/>
  <c r="AI28" i="2" s="1"/>
  <c r="AG27" i="2"/>
  <c r="AH108" i="2"/>
  <c r="AE107" i="2"/>
  <c r="AH52" i="2"/>
  <c r="AE51" i="2"/>
  <c r="AJ88" i="2"/>
  <c r="AI88" i="2" s="1"/>
  <c r="AG87" i="2"/>
  <c r="AJ35" i="2"/>
  <c r="AI35" i="2" s="1"/>
  <c r="AG34" i="2"/>
  <c r="AJ32" i="2"/>
  <c r="AI32" i="2" s="1"/>
  <c r="AG31" i="2"/>
  <c r="AJ80" i="2"/>
  <c r="AI80" i="2" s="1"/>
  <c r="AG79" i="2"/>
  <c r="AJ31" i="2"/>
  <c r="AI31" i="2" s="1"/>
  <c r="AG30" i="2"/>
  <c r="AH96" i="2"/>
  <c r="AE95" i="2"/>
  <c r="AJ110" i="2"/>
  <c r="AI110" i="2" s="1"/>
  <c r="AG109" i="2"/>
  <c r="AJ24" i="2"/>
  <c r="AI24" i="2" s="1"/>
  <c r="AG23" i="2"/>
  <c r="AJ26" i="2"/>
  <c r="AI26" i="2" s="1"/>
  <c r="AG25" i="2"/>
  <c r="AH120" i="2"/>
  <c r="AE119" i="2"/>
  <c r="AJ70" i="2"/>
  <c r="AI70" i="2" s="1"/>
  <c r="AG69" i="2"/>
  <c r="AH88" i="2"/>
  <c r="AE87" i="2"/>
  <c r="AH99" i="2"/>
  <c r="AE98" i="2"/>
  <c r="AJ91" i="2"/>
  <c r="AI91" i="2" s="1"/>
  <c r="AG90" i="2"/>
  <c r="AJ123" i="2"/>
  <c r="AI123" i="2" s="1"/>
  <c r="AG122" i="2"/>
  <c r="AH100" i="2"/>
  <c r="AE99" i="2"/>
  <c r="AH76" i="2"/>
  <c r="AE75" i="2"/>
  <c r="AJ74" i="2"/>
  <c r="AI74" i="2" s="1"/>
  <c r="AG73" i="2"/>
  <c r="AJ47" i="2"/>
  <c r="AI47" i="2" s="1"/>
  <c r="AG46" i="2"/>
  <c r="AJ76" i="2"/>
  <c r="AI76" i="2" s="1"/>
  <c r="AG75" i="2"/>
  <c r="AJ130" i="2"/>
  <c r="AI130" i="2" s="1"/>
  <c r="AG129" i="2"/>
  <c r="AH32" i="2"/>
  <c r="AE31" i="2"/>
  <c r="AJ20" i="2"/>
  <c r="AI20" i="2" s="1"/>
  <c r="AG19" i="2"/>
  <c r="AJ22" i="2"/>
  <c r="AI22" i="2" s="1"/>
  <c r="AG21" i="2"/>
  <c r="AJ72" i="2"/>
  <c r="AI72" i="2" s="1"/>
  <c r="AG71" i="2"/>
  <c r="AJ27" i="2"/>
  <c r="AI27" i="2" s="1"/>
  <c r="AG26" i="2"/>
  <c r="AH56" i="2"/>
  <c r="AE55" i="2"/>
  <c r="AJ30" i="2"/>
  <c r="AI30" i="2" s="1"/>
  <c r="AG29" i="2"/>
  <c r="AJ98" i="2"/>
  <c r="AI98" i="2" s="1"/>
  <c r="AG97" i="2"/>
  <c r="AJ68" i="2"/>
  <c r="AI68" i="2" s="1"/>
  <c r="AG67" i="2"/>
  <c r="AJ78" i="2"/>
  <c r="AI78" i="2" s="1"/>
  <c r="AG77" i="2"/>
  <c r="AJ75" i="2"/>
  <c r="AI75" i="2" s="1"/>
  <c r="AG74" i="2"/>
  <c r="AH95" i="2"/>
  <c r="AE94" i="2"/>
  <c r="AH28" i="2"/>
  <c r="AE27" i="2"/>
  <c r="AH104" i="2"/>
  <c r="AE103" i="2"/>
  <c r="AJ114" i="2"/>
  <c r="AI114" i="2" s="1"/>
  <c r="AG113" i="2"/>
  <c r="AJ39" i="2"/>
  <c r="AI39" i="2" s="1"/>
  <c r="AG38" i="2"/>
  <c r="AJ94" i="2"/>
  <c r="AI94" i="2" s="1"/>
  <c r="AG93" i="2"/>
  <c r="AJ51" i="2"/>
  <c r="AI51" i="2" s="1"/>
  <c r="AG50" i="2"/>
  <c r="AJ119" i="2"/>
  <c r="AI119" i="2" s="1"/>
  <c r="AG118" i="2"/>
  <c r="AJ90" i="2"/>
  <c r="AI90" i="2" s="1"/>
  <c r="AG89" i="2"/>
  <c r="AH80" i="2"/>
  <c r="AE79" i="2"/>
  <c r="AJ63" i="2"/>
  <c r="AI63" i="2" s="1"/>
  <c r="AG62" i="2"/>
  <c r="AJ52" i="2"/>
  <c r="AI52" i="2" s="1"/>
  <c r="AG51" i="2"/>
  <c r="AH132" i="2"/>
  <c r="AE131" i="2"/>
  <c r="AJ23" i="2"/>
  <c r="AI23" i="2" s="1"/>
  <c r="AG22" i="2"/>
  <c r="AJ54" i="2"/>
  <c r="AI54" i="2" s="1"/>
  <c r="AG53" i="2"/>
  <c r="AJ55" i="2"/>
  <c r="AI55" i="2" s="1"/>
  <c r="AG54" i="2"/>
  <c r="AJ84" i="2"/>
  <c r="AI84" i="2" s="1"/>
  <c r="AG83" i="2"/>
  <c r="AJ102" i="2"/>
  <c r="AI102" i="2" s="1"/>
  <c r="AG101" i="2"/>
  <c r="AH84" i="2"/>
  <c r="AE83" i="2"/>
  <c r="AJ59" i="2"/>
  <c r="AI59" i="2" s="1"/>
  <c r="AG58" i="2"/>
  <c r="AJ79" i="2"/>
  <c r="AI79" i="2" s="1"/>
  <c r="AG78" i="2"/>
  <c r="AJ60" i="2"/>
  <c r="AI60" i="2" s="1"/>
  <c r="AG59" i="2"/>
  <c r="AH64" i="2"/>
  <c r="AE63" i="2"/>
  <c r="AJ126" i="2"/>
  <c r="AI126" i="2" s="1"/>
  <c r="AG125" i="2"/>
  <c r="AH48" i="2"/>
  <c r="AE47" i="2"/>
  <c r="AJ131" i="2"/>
  <c r="AI131" i="2" s="1"/>
  <c r="AG130" i="2"/>
  <c r="AJ87" i="2"/>
  <c r="AI87" i="2" s="1"/>
  <c r="AG86" i="2"/>
  <c r="AJ66" i="2"/>
  <c r="AI66" i="2" s="1"/>
  <c r="AG65" i="2"/>
  <c r="AH36" i="2"/>
  <c r="AE35" i="2"/>
  <c r="AH111" i="2"/>
  <c r="AE110" i="2"/>
  <c r="AH68" i="2"/>
  <c r="AE67" i="2"/>
  <c r="AH131" i="2"/>
  <c r="AE130" i="2"/>
  <c r="AH112" i="2"/>
  <c r="AE111" i="2"/>
  <c r="AJ92" i="2"/>
  <c r="AI92" i="2" s="1"/>
  <c r="AG91" i="2"/>
  <c r="AJ122" i="2"/>
  <c r="AI122" i="2" s="1"/>
  <c r="AG121" i="2"/>
  <c r="AJ127" i="2"/>
  <c r="AI127" i="2" s="1"/>
  <c r="AG126" i="2"/>
  <c r="AJ95" i="2"/>
  <c r="AI95" i="2" s="1"/>
  <c r="AG94" i="2"/>
  <c r="AJ19" i="2"/>
  <c r="AI19" i="2" s="1"/>
  <c r="AG18" i="2"/>
  <c r="AH123" i="2"/>
  <c r="AE122" i="2"/>
  <c r="AJ44" i="2"/>
  <c r="AI44" i="2" s="1"/>
  <c r="AG43" i="2"/>
  <c r="AJ115" i="2"/>
  <c r="AI115" i="2" s="1"/>
  <c r="AG114" i="2"/>
  <c r="AJ18" i="2"/>
  <c r="AI18" i="2" s="1"/>
  <c r="AG17" i="2"/>
  <c r="AJ99" i="2"/>
  <c r="AI99" i="2" s="1"/>
  <c r="AG98" i="2"/>
  <c r="AH128" i="2"/>
  <c r="AE127" i="2"/>
  <c r="AJ48" i="2"/>
  <c r="AI48" i="2" s="1"/>
  <c r="AG47" i="2"/>
  <c r="AJ67" i="2"/>
  <c r="AI67" i="2" s="1"/>
  <c r="AG66" i="2"/>
  <c r="C17" i="3"/>
  <c r="D16" i="3"/>
  <c r="F15" i="3"/>
  <c r="E15" i="3"/>
  <c r="G15" i="3" s="1"/>
  <c r="AE135" i="2" l="1"/>
  <c r="AE136" i="2" s="1"/>
  <c r="AE138" i="2" s="1"/>
  <c r="AJ124" i="2"/>
  <c r="AI124" i="2" s="1"/>
  <c r="AG123" i="2"/>
  <c r="AJ101" i="2"/>
  <c r="AI101" i="2" s="1"/>
  <c r="AG100" i="2"/>
  <c r="AJ89" i="2"/>
  <c r="AI89" i="2" s="1"/>
  <c r="AG88" i="2"/>
  <c r="AJ53" i="2"/>
  <c r="AI53" i="2" s="1"/>
  <c r="AG52" i="2"/>
  <c r="AJ41" i="2"/>
  <c r="AI41" i="2" s="1"/>
  <c r="AG40" i="2"/>
  <c r="AJ93" i="2"/>
  <c r="AI93" i="2" s="1"/>
  <c r="AG92" i="2"/>
  <c r="AJ108" i="2"/>
  <c r="AI108" i="2" s="1"/>
  <c r="AG107" i="2"/>
  <c r="AJ104" i="2"/>
  <c r="AI104" i="2" s="1"/>
  <c r="AG103" i="2"/>
  <c r="AJ69" i="2"/>
  <c r="AI69" i="2" s="1"/>
  <c r="AG68" i="2"/>
  <c r="AJ65" i="2"/>
  <c r="AI65" i="2" s="1"/>
  <c r="AG64" i="2"/>
  <c r="AJ85" i="2"/>
  <c r="AI85" i="2" s="1"/>
  <c r="AG84" i="2"/>
  <c r="AJ105" i="2"/>
  <c r="AI105" i="2" s="1"/>
  <c r="AG104" i="2"/>
  <c r="AJ57" i="2"/>
  <c r="AI57" i="2" s="1"/>
  <c r="AG56" i="2"/>
  <c r="AJ109" i="2"/>
  <c r="AI109" i="2" s="1"/>
  <c r="AG108" i="2"/>
  <c r="AJ21" i="2"/>
  <c r="AI21" i="2" s="1"/>
  <c r="AG20" i="2"/>
  <c r="AJ25" i="2"/>
  <c r="AI25" i="2" s="1"/>
  <c r="AG24" i="2"/>
  <c r="AJ128" i="2"/>
  <c r="AI128" i="2" s="1"/>
  <c r="AG127" i="2"/>
  <c r="AJ112" i="2"/>
  <c r="AI112" i="2" s="1"/>
  <c r="AG111" i="2"/>
  <c r="AJ81" i="2"/>
  <c r="AI81" i="2" s="1"/>
  <c r="AG80" i="2"/>
  <c r="AJ29" i="2"/>
  <c r="AI29" i="2" s="1"/>
  <c r="AG28" i="2"/>
  <c r="AJ33" i="2"/>
  <c r="AI33" i="2" s="1"/>
  <c r="AG32" i="2"/>
  <c r="AJ121" i="2"/>
  <c r="AI121" i="2" s="1"/>
  <c r="AG120" i="2"/>
  <c r="AJ97" i="2"/>
  <c r="AI97" i="2" s="1"/>
  <c r="AG96" i="2"/>
  <c r="AJ45" i="2"/>
  <c r="AI45" i="2" s="1"/>
  <c r="AG44" i="2"/>
  <c r="AJ73" i="2"/>
  <c r="AI73" i="2" s="1"/>
  <c r="AG72" i="2"/>
  <c r="AJ120" i="2"/>
  <c r="AI120" i="2" s="1"/>
  <c r="AG119" i="2"/>
  <c r="AJ113" i="2"/>
  <c r="AI113" i="2" s="1"/>
  <c r="AG112" i="2"/>
  <c r="AJ37" i="2"/>
  <c r="AI37" i="2" s="1"/>
  <c r="AG36" i="2"/>
  <c r="AJ49" i="2"/>
  <c r="AI49" i="2" s="1"/>
  <c r="AG48" i="2"/>
  <c r="AJ129" i="2"/>
  <c r="AI129" i="2" s="1"/>
  <c r="AG128" i="2"/>
  <c r="AJ133" i="2"/>
  <c r="AI133" i="2" s="1"/>
  <c r="AG132" i="2"/>
  <c r="AJ96" i="2"/>
  <c r="AI96" i="2" s="1"/>
  <c r="AG95" i="2"/>
  <c r="AJ77" i="2"/>
  <c r="AI77" i="2" s="1"/>
  <c r="AG76" i="2"/>
  <c r="AJ100" i="2"/>
  <c r="AI100" i="2" s="1"/>
  <c r="AG99" i="2"/>
  <c r="AJ117" i="2"/>
  <c r="AI117" i="2" s="1"/>
  <c r="AG116" i="2"/>
  <c r="AJ116" i="2"/>
  <c r="AI116" i="2" s="1"/>
  <c r="AG115" i="2"/>
  <c r="AJ61" i="2"/>
  <c r="AI61" i="2" s="1"/>
  <c r="AG60" i="2"/>
  <c r="AJ125" i="2"/>
  <c r="AI125" i="2" s="1"/>
  <c r="AG124" i="2"/>
  <c r="AJ132" i="2"/>
  <c r="AI132" i="2" s="1"/>
  <c r="AG131" i="2"/>
  <c r="F16" i="3"/>
  <c r="E16" i="3"/>
  <c r="G16" i="3" s="1"/>
  <c r="C18" i="3"/>
  <c r="D17" i="3"/>
  <c r="AI135" i="2" l="1"/>
  <c r="AI136" i="2" s="1"/>
  <c r="AI138" i="2" s="1"/>
  <c r="AG135" i="2"/>
  <c r="AG136" i="2" s="1"/>
  <c r="AG138" i="2" s="1"/>
  <c r="C19" i="3"/>
  <c r="D18" i="3"/>
  <c r="F17" i="3"/>
  <c r="E17" i="3"/>
  <c r="G17" i="3" s="1"/>
  <c r="B151" i="2" l="1"/>
  <c r="B155" i="2" s="1"/>
  <c r="F18" i="3"/>
  <c r="E18" i="3"/>
  <c r="G18" i="3" s="1"/>
  <c r="C20" i="3"/>
  <c r="D19" i="3"/>
  <c r="F19" i="3" l="1"/>
  <c r="E19" i="3"/>
  <c r="G19" i="3" s="1"/>
  <c r="C21" i="3"/>
  <c r="D20" i="3"/>
  <c r="F20" i="3" l="1"/>
  <c r="E20" i="3"/>
  <c r="G20" i="3" s="1"/>
  <c r="C22" i="3"/>
  <c r="D21" i="3"/>
  <c r="F21" i="3" l="1"/>
  <c r="E21" i="3"/>
  <c r="G21" i="3" s="1"/>
  <c r="C23" i="3"/>
  <c r="D22" i="3"/>
  <c r="C24" i="3" l="1"/>
  <c r="D23" i="3"/>
  <c r="F22" i="3"/>
  <c r="E22" i="3"/>
  <c r="G22" i="3" s="1"/>
  <c r="F23" i="3" l="1"/>
  <c r="E23" i="3"/>
  <c r="G23" i="3" s="1"/>
  <c r="C25" i="3"/>
  <c r="D24" i="3"/>
  <c r="F24" i="3" l="1"/>
  <c r="E24" i="3"/>
  <c r="G24" i="3" s="1"/>
  <c r="C26" i="3"/>
  <c r="D25" i="3"/>
  <c r="F25" i="3" l="1"/>
  <c r="E25" i="3"/>
  <c r="G25" i="3" s="1"/>
  <c r="C27" i="3"/>
  <c r="D26" i="3"/>
  <c r="F26" i="3" l="1"/>
  <c r="E26" i="3"/>
  <c r="G26" i="3" s="1"/>
  <c r="C28" i="3"/>
  <c r="D27" i="3"/>
  <c r="E27" i="3" l="1"/>
  <c r="G27" i="3" s="1"/>
  <c r="F27" i="3"/>
  <c r="C29" i="3"/>
  <c r="D28" i="3"/>
  <c r="C30" i="3" l="1"/>
  <c r="D29" i="3"/>
  <c r="F28" i="3"/>
  <c r="E28" i="3"/>
  <c r="G28" i="3" s="1"/>
  <c r="F29" i="3" l="1"/>
  <c r="E29" i="3"/>
  <c r="G29" i="3" s="1"/>
  <c r="C31" i="3"/>
  <c r="D30" i="3"/>
  <c r="F30" i="3" l="1"/>
  <c r="E30" i="3"/>
  <c r="G30" i="3" s="1"/>
  <c r="C32" i="3"/>
  <c r="D31" i="3"/>
  <c r="C33" i="3" l="1"/>
  <c r="D32" i="3"/>
  <c r="F31" i="3"/>
  <c r="E31" i="3"/>
  <c r="G31" i="3" s="1"/>
  <c r="F32" i="3" l="1"/>
  <c r="E32" i="3"/>
  <c r="G32" i="3" s="1"/>
  <c r="C34" i="3"/>
  <c r="D33" i="3"/>
  <c r="F33" i="3" l="1"/>
  <c r="E33" i="3"/>
  <c r="G33" i="3" s="1"/>
  <c r="C35" i="3"/>
  <c r="D34" i="3"/>
  <c r="F34" i="3" l="1"/>
  <c r="E34" i="3"/>
  <c r="G34" i="3" s="1"/>
  <c r="C36" i="3"/>
  <c r="D35" i="3"/>
  <c r="F35" i="3" l="1"/>
  <c r="E35" i="3"/>
  <c r="G35" i="3" s="1"/>
  <c r="C37" i="3"/>
  <c r="D36" i="3"/>
  <c r="C38" i="3" l="1"/>
  <c r="D37" i="3"/>
  <c r="F36" i="3"/>
  <c r="E36" i="3"/>
  <c r="G36" i="3" s="1"/>
  <c r="F37" i="3" l="1"/>
  <c r="E37" i="3"/>
  <c r="G37" i="3" s="1"/>
  <c r="C39" i="3"/>
  <c r="D38" i="3"/>
  <c r="F38" i="3" l="1"/>
  <c r="E38" i="3"/>
  <c r="G38" i="3" s="1"/>
  <c r="C40" i="3"/>
  <c r="D39" i="3"/>
  <c r="F39" i="3" l="1"/>
  <c r="E39" i="3"/>
  <c r="G39" i="3" s="1"/>
  <c r="C41" i="3"/>
  <c r="D40" i="3"/>
  <c r="C42" i="3" l="1"/>
  <c r="D41" i="3"/>
  <c r="F40" i="3"/>
  <c r="E40" i="3"/>
  <c r="G40" i="3" s="1"/>
  <c r="F41" i="3" l="1"/>
  <c r="E41" i="3"/>
  <c r="G41" i="3" s="1"/>
  <c r="C43" i="3"/>
  <c r="D42" i="3"/>
  <c r="F42" i="3" l="1"/>
  <c r="E42" i="3"/>
  <c r="G42" i="3" s="1"/>
  <c r="C44" i="3"/>
  <c r="D43" i="3"/>
  <c r="E43" i="3" l="1"/>
  <c r="G43" i="3" s="1"/>
  <c r="F43" i="3"/>
  <c r="C45" i="3"/>
  <c r="D44" i="3"/>
  <c r="F44" i="3" l="1"/>
  <c r="E44" i="3"/>
  <c r="G44" i="3" s="1"/>
  <c r="C46" i="3"/>
  <c r="D45" i="3"/>
  <c r="F45" i="3" l="1"/>
  <c r="E45" i="3"/>
  <c r="G45" i="3" s="1"/>
  <c r="C47" i="3"/>
  <c r="D46" i="3"/>
  <c r="C48" i="3" l="1"/>
  <c r="D47" i="3"/>
  <c r="F46" i="3"/>
  <c r="E46" i="3"/>
  <c r="G46" i="3" s="1"/>
  <c r="F47" i="3" l="1"/>
  <c r="E47" i="3"/>
  <c r="G47" i="3" s="1"/>
  <c r="C49" i="3"/>
  <c r="D48" i="3"/>
  <c r="F48" i="3" l="1"/>
  <c r="E48" i="3"/>
  <c r="G48" i="3" s="1"/>
  <c r="C50" i="3"/>
  <c r="D49" i="3"/>
  <c r="F49" i="3" l="1"/>
  <c r="E49" i="3"/>
  <c r="G49" i="3" s="1"/>
  <c r="C51" i="3"/>
  <c r="D50" i="3"/>
  <c r="F50" i="3" l="1"/>
  <c r="E50" i="3"/>
  <c r="G50" i="3" s="1"/>
  <c r="C52" i="3"/>
  <c r="D51" i="3"/>
  <c r="F51" i="3" l="1"/>
  <c r="E51" i="3"/>
  <c r="G51" i="3" s="1"/>
  <c r="C53" i="3"/>
  <c r="D52" i="3"/>
  <c r="F52" i="3" l="1"/>
  <c r="E52" i="3"/>
  <c r="G52" i="3" s="1"/>
  <c r="C54" i="3"/>
  <c r="D53" i="3"/>
  <c r="C55" i="3" l="1"/>
  <c r="D54" i="3"/>
  <c r="F53" i="3"/>
  <c r="E53" i="3"/>
  <c r="G53" i="3" s="1"/>
  <c r="F54" i="3" l="1"/>
  <c r="E54" i="3"/>
  <c r="G54" i="3" s="1"/>
  <c r="C56" i="3"/>
  <c r="D55" i="3"/>
  <c r="C57" i="3" l="1"/>
  <c r="D56" i="3"/>
  <c r="F55" i="3"/>
  <c r="E55" i="3"/>
  <c r="G55" i="3" s="1"/>
  <c r="F56" i="3" l="1"/>
  <c r="E56" i="3"/>
  <c r="G56" i="3" s="1"/>
  <c r="C58" i="3"/>
  <c r="D57" i="3"/>
  <c r="C59" i="3" l="1"/>
  <c r="D58" i="3"/>
  <c r="F57" i="3"/>
  <c r="E57" i="3"/>
  <c r="G57" i="3" s="1"/>
  <c r="F58" i="3" l="1"/>
  <c r="E58" i="3"/>
  <c r="G58" i="3" s="1"/>
  <c r="C60" i="3"/>
  <c r="D59" i="3"/>
  <c r="C61" i="3" l="1"/>
  <c r="D60" i="3"/>
  <c r="E59" i="3"/>
  <c r="G59" i="3" s="1"/>
  <c r="F59" i="3"/>
  <c r="F60" i="3" l="1"/>
  <c r="E60" i="3"/>
  <c r="G60" i="3" s="1"/>
  <c r="C62" i="3"/>
  <c r="D61" i="3"/>
  <c r="C63" i="3" l="1"/>
  <c r="D62" i="3"/>
  <c r="F61" i="3"/>
  <c r="E61" i="3"/>
  <c r="G61" i="3" s="1"/>
  <c r="F62" i="3" l="1"/>
  <c r="E62" i="3"/>
  <c r="G62" i="3" s="1"/>
  <c r="C64" i="3"/>
  <c r="D63" i="3"/>
  <c r="F63" i="3" l="1"/>
  <c r="E63" i="3"/>
  <c r="G63" i="3" s="1"/>
  <c r="C65" i="3"/>
  <c r="D64" i="3"/>
  <c r="F64" i="3" l="1"/>
  <c r="E64" i="3"/>
  <c r="G64" i="3" s="1"/>
  <c r="C66" i="3"/>
  <c r="D65" i="3"/>
  <c r="F65" i="3" l="1"/>
  <c r="E65" i="3"/>
  <c r="G65" i="3" s="1"/>
  <c r="C67" i="3"/>
  <c r="D66" i="3"/>
  <c r="F66" i="3" l="1"/>
  <c r="E66" i="3"/>
  <c r="G66" i="3" s="1"/>
  <c r="C68" i="3"/>
  <c r="D67" i="3"/>
  <c r="F67" i="3" l="1"/>
  <c r="E67" i="3"/>
  <c r="G67" i="3" s="1"/>
  <c r="C69" i="3"/>
  <c r="D68" i="3"/>
  <c r="C70" i="3" l="1"/>
  <c r="D69" i="3"/>
  <c r="F68" i="3"/>
  <c r="E68" i="3"/>
  <c r="G68" i="3" s="1"/>
  <c r="F69" i="3" l="1"/>
  <c r="E69" i="3"/>
  <c r="G69" i="3" s="1"/>
  <c r="C71" i="3"/>
  <c r="D70" i="3"/>
  <c r="C72" i="3" l="1"/>
  <c r="D71" i="3"/>
  <c r="F70" i="3"/>
  <c r="E70" i="3"/>
  <c r="G70" i="3" s="1"/>
  <c r="F71" i="3" l="1"/>
  <c r="E71" i="3"/>
  <c r="G71" i="3" s="1"/>
  <c r="C73" i="3"/>
  <c r="D72" i="3"/>
  <c r="F72" i="3" l="1"/>
  <c r="E72" i="3"/>
  <c r="G72" i="3" s="1"/>
  <c r="C74" i="3"/>
  <c r="D73" i="3"/>
  <c r="F73" i="3" l="1"/>
  <c r="E73" i="3"/>
  <c r="G73" i="3" s="1"/>
  <c r="C75" i="3"/>
  <c r="D74" i="3"/>
  <c r="F74" i="3" l="1"/>
  <c r="E74" i="3"/>
  <c r="G74" i="3" s="1"/>
  <c r="C76" i="3"/>
  <c r="D75" i="3"/>
  <c r="C77" i="3" l="1"/>
  <c r="D76" i="3"/>
  <c r="E75" i="3"/>
  <c r="G75" i="3" s="1"/>
  <c r="F75" i="3"/>
  <c r="F76" i="3" l="1"/>
  <c r="E76" i="3"/>
  <c r="G76" i="3" s="1"/>
  <c r="C78" i="3"/>
  <c r="D77" i="3"/>
  <c r="F77" i="3" l="1"/>
  <c r="E77" i="3"/>
  <c r="G77" i="3" s="1"/>
  <c r="C79" i="3"/>
  <c r="D78" i="3"/>
  <c r="F78" i="3" l="1"/>
  <c r="E78" i="3"/>
  <c r="G78" i="3" s="1"/>
  <c r="C80" i="3"/>
  <c r="D79" i="3"/>
  <c r="F79" i="3" l="1"/>
  <c r="E79" i="3"/>
  <c r="G79" i="3" s="1"/>
  <c r="C81" i="3"/>
  <c r="D80" i="3"/>
  <c r="F80" i="3" l="1"/>
  <c r="E80" i="3"/>
  <c r="G80" i="3" s="1"/>
  <c r="C82" i="3"/>
  <c r="D81" i="3"/>
  <c r="F81" i="3" l="1"/>
  <c r="E81" i="3"/>
  <c r="G81" i="3" s="1"/>
  <c r="C83" i="3"/>
  <c r="D82" i="3"/>
  <c r="F82" i="3" l="1"/>
  <c r="E82" i="3"/>
  <c r="G82" i="3" s="1"/>
  <c r="C84" i="3"/>
  <c r="D83" i="3"/>
  <c r="C85" i="3" l="1"/>
  <c r="D84" i="3"/>
  <c r="F83" i="3"/>
  <c r="E83" i="3"/>
  <c r="G83" i="3" s="1"/>
  <c r="F84" i="3" l="1"/>
  <c r="E84" i="3"/>
  <c r="G84" i="3" s="1"/>
  <c r="C86" i="3"/>
  <c r="D85" i="3"/>
  <c r="F85" i="3" l="1"/>
  <c r="E85" i="3"/>
  <c r="G85" i="3" s="1"/>
  <c r="C87" i="3"/>
  <c r="D86" i="3"/>
  <c r="F86" i="3" l="1"/>
  <c r="E86" i="3"/>
  <c r="G86" i="3" s="1"/>
  <c r="C88" i="3"/>
  <c r="D87" i="3"/>
  <c r="E87" i="3" l="1"/>
  <c r="G87" i="3" s="1"/>
  <c r="F87" i="3"/>
  <c r="C89" i="3"/>
  <c r="D88" i="3"/>
  <c r="F88" i="3" l="1"/>
  <c r="E88" i="3"/>
  <c r="G88" i="3" s="1"/>
  <c r="C90" i="3"/>
  <c r="D89" i="3"/>
  <c r="C91" i="3" l="1"/>
  <c r="D90" i="3"/>
  <c r="F89" i="3"/>
  <c r="E89" i="3"/>
  <c r="G89" i="3" s="1"/>
  <c r="F90" i="3" l="1"/>
  <c r="E90" i="3"/>
  <c r="G90" i="3" s="1"/>
  <c r="C92" i="3"/>
  <c r="D91" i="3"/>
  <c r="E91" i="3" l="1"/>
  <c r="G91" i="3" s="1"/>
  <c r="F91" i="3"/>
  <c r="C93" i="3"/>
  <c r="D92" i="3"/>
  <c r="F92" i="3" l="1"/>
  <c r="E92" i="3"/>
  <c r="G92" i="3" s="1"/>
  <c r="C94" i="3"/>
  <c r="D93" i="3"/>
  <c r="C95" i="3" l="1"/>
  <c r="D94" i="3"/>
  <c r="F93" i="3"/>
  <c r="E93" i="3"/>
  <c r="G93" i="3" s="1"/>
  <c r="F94" i="3" l="1"/>
  <c r="E94" i="3"/>
  <c r="G94" i="3" s="1"/>
  <c r="C96" i="3"/>
  <c r="D95" i="3"/>
  <c r="F95" i="3" l="1"/>
  <c r="E95" i="3"/>
  <c r="G95" i="3" s="1"/>
  <c r="C97" i="3"/>
  <c r="D96" i="3"/>
  <c r="F96" i="3" l="1"/>
  <c r="E96" i="3"/>
  <c r="G96" i="3" s="1"/>
  <c r="C98" i="3"/>
  <c r="D97" i="3"/>
  <c r="F97" i="3" l="1"/>
  <c r="E97" i="3"/>
  <c r="G97" i="3" s="1"/>
  <c r="C99" i="3"/>
  <c r="D98" i="3"/>
  <c r="F98" i="3" l="1"/>
  <c r="E98" i="3"/>
  <c r="G98" i="3" s="1"/>
  <c r="C100" i="3"/>
  <c r="D99" i="3"/>
  <c r="F99" i="3" l="1"/>
  <c r="E99" i="3"/>
  <c r="G99" i="3" s="1"/>
  <c r="C101" i="3"/>
  <c r="D100" i="3"/>
  <c r="F100" i="3" l="1"/>
  <c r="E100" i="3"/>
  <c r="G100" i="3" s="1"/>
  <c r="C102" i="3"/>
  <c r="D101" i="3"/>
  <c r="F101" i="3" l="1"/>
  <c r="E101" i="3"/>
  <c r="G101" i="3" s="1"/>
  <c r="C103" i="3"/>
  <c r="D102" i="3"/>
  <c r="F102" i="3" l="1"/>
  <c r="E102" i="3"/>
  <c r="G102" i="3" s="1"/>
  <c r="C104" i="3"/>
  <c r="D103" i="3"/>
  <c r="C105" i="3" l="1"/>
  <c r="D104" i="3"/>
  <c r="E103" i="3"/>
  <c r="G103" i="3" s="1"/>
  <c r="F103" i="3"/>
  <c r="F104" i="3" l="1"/>
  <c r="E104" i="3"/>
  <c r="G104" i="3" s="1"/>
  <c r="C106" i="3"/>
  <c r="D105" i="3"/>
  <c r="F105" i="3" l="1"/>
  <c r="E105" i="3"/>
  <c r="G105" i="3" s="1"/>
  <c r="C107" i="3"/>
  <c r="D106" i="3"/>
  <c r="F106" i="3" l="1"/>
  <c r="E106" i="3"/>
  <c r="G106" i="3" s="1"/>
  <c r="C108" i="3"/>
  <c r="D107" i="3"/>
  <c r="E107" i="3" l="1"/>
  <c r="G107" i="3" s="1"/>
  <c r="F107" i="3"/>
  <c r="C109" i="3"/>
  <c r="D108" i="3"/>
  <c r="F108" i="3" l="1"/>
  <c r="E108" i="3"/>
  <c r="G108" i="3" s="1"/>
  <c r="C110" i="3"/>
  <c r="D109" i="3"/>
  <c r="F109" i="3" l="1"/>
  <c r="E109" i="3"/>
  <c r="G109" i="3" s="1"/>
  <c r="C111" i="3"/>
  <c r="D110" i="3"/>
  <c r="F110" i="3" l="1"/>
  <c r="E110" i="3"/>
  <c r="G110" i="3" s="1"/>
  <c r="C112" i="3"/>
  <c r="D111" i="3"/>
  <c r="F111" i="3" l="1"/>
  <c r="E111" i="3"/>
  <c r="G111" i="3" s="1"/>
  <c r="C113" i="3"/>
  <c r="D112" i="3"/>
  <c r="F112" i="3" l="1"/>
  <c r="E112" i="3"/>
  <c r="G112" i="3" s="1"/>
  <c r="C114" i="3"/>
  <c r="D113" i="3"/>
  <c r="F113" i="3" l="1"/>
  <c r="E113" i="3"/>
  <c r="G113" i="3" s="1"/>
  <c r="C115" i="3"/>
  <c r="D114" i="3"/>
  <c r="C116" i="3" l="1"/>
  <c r="D115" i="3"/>
  <c r="F114" i="3"/>
  <c r="E114" i="3"/>
  <c r="G114" i="3" s="1"/>
  <c r="F115" i="3" l="1"/>
  <c r="E115" i="3"/>
  <c r="G115" i="3" s="1"/>
  <c r="C117" i="3"/>
  <c r="D116" i="3"/>
  <c r="F116" i="3" l="1"/>
  <c r="E116" i="3"/>
  <c r="G116" i="3" s="1"/>
  <c r="C118" i="3"/>
  <c r="D117" i="3"/>
  <c r="F117" i="3" l="1"/>
  <c r="E117" i="3"/>
  <c r="G117" i="3" s="1"/>
  <c r="C119" i="3"/>
  <c r="D118" i="3"/>
  <c r="F118" i="3" l="1"/>
  <c r="E118" i="3"/>
  <c r="G118" i="3" s="1"/>
  <c r="C120" i="3"/>
  <c r="D119" i="3"/>
  <c r="E119" i="3" l="1"/>
  <c r="G119" i="3" s="1"/>
  <c r="F119" i="3"/>
  <c r="C121" i="3"/>
  <c r="D120" i="3"/>
  <c r="F120" i="3" l="1"/>
  <c r="E120" i="3"/>
  <c r="G120" i="3" s="1"/>
  <c r="C122" i="3"/>
  <c r="D121" i="3"/>
  <c r="F121" i="3" l="1"/>
  <c r="E121" i="3"/>
  <c r="G121" i="3" s="1"/>
  <c r="C123" i="3"/>
  <c r="D122" i="3"/>
  <c r="F122" i="3" l="1"/>
  <c r="E122" i="3"/>
  <c r="G122" i="3" s="1"/>
  <c r="C124" i="3"/>
  <c r="D123" i="3"/>
  <c r="E123" i="3" l="1"/>
  <c r="G123" i="3" s="1"/>
  <c r="F123" i="3"/>
  <c r="C125" i="3"/>
  <c r="D124" i="3"/>
  <c r="C126" i="3" l="1"/>
  <c r="D125" i="3"/>
  <c r="F124" i="3"/>
  <c r="E124" i="3"/>
  <c r="G124" i="3" s="1"/>
  <c r="F125" i="3" l="1"/>
  <c r="E125" i="3"/>
  <c r="G125" i="3" s="1"/>
  <c r="C127" i="3"/>
  <c r="D126" i="3"/>
  <c r="F126" i="3" l="1"/>
  <c r="E126" i="3"/>
  <c r="G126" i="3" s="1"/>
  <c r="C128" i="3"/>
  <c r="D127" i="3"/>
  <c r="C129" i="3" l="1"/>
  <c r="D128" i="3"/>
  <c r="F127" i="3"/>
  <c r="E127" i="3"/>
  <c r="G127" i="3" s="1"/>
  <c r="F128" i="3" l="1"/>
  <c r="E128" i="3"/>
  <c r="G128" i="3" s="1"/>
  <c r="C130" i="3"/>
  <c r="D129" i="3"/>
  <c r="F129" i="3" l="1"/>
  <c r="E129" i="3"/>
  <c r="G129" i="3" s="1"/>
  <c r="C131" i="3"/>
  <c r="D130" i="3"/>
  <c r="F130" i="3" l="1"/>
  <c r="E130" i="3"/>
  <c r="G130" i="3" s="1"/>
  <c r="C132" i="3"/>
  <c r="D131" i="3"/>
  <c r="C133" i="3" l="1"/>
  <c r="D132" i="3"/>
  <c r="F131" i="3"/>
  <c r="E131" i="3"/>
  <c r="G131" i="3" s="1"/>
  <c r="F132" i="3" l="1"/>
  <c r="E132" i="3"/>
  <c r="G132" i="3" s="1"/>
  <c r="C134" i="3"/>
  <c r="D134" i="3" s="1"/>
  <c r="D133" i="3"/>
  <c r="F134" i="3" l="1"/>
  <c r="E142" i="3" s="1"/>
  <c r="E134" i="3"/>
  <c r="F133" i="3"/>
  <c r="E133" i="3"/>
  <c r="G133" i="3" s="1"/>
  <c r="G134" i="3" l="1"/>
  <c r="G142" i="3" s="1"/>
  <c r="F142" i="3"/>
</calcChain>
</file>

<file path=xl/sharedStrings.xml><?xml version="1.0" encoding="utf-8"?>
<sst xmlns="http://schemas.openxmlformats.org/spreadsheetml/2006/main" count="201" uniqueCount="165">
  <si>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</si>
  <si>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</si>
  <si>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</si>
  <si>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</si>
  <si>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</si>
  <si>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</si>
  <si>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</si>
  <si>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</si>
  <si>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</si>
  <si>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Octomber</t>
  </si>
  <si>
    <t>November</t>
  </si>
  <si>
    <t>December</t>
  </si>
  <si>
    <t>Total</t>
  </si>
  <si>
    <t>y</t>
  </si>
  <si>
    <t>t(monthly)</t>
  </si>
  <si>
    <t>y(lag1)</t>
  </si>
  <si>
    <t>y(lag2)</t>
  </si>
  <si>
    <t>y(lag3)</t>
  </si>
  <si>
    <t>y(lag4)</t>
  </si>
  <si>
    <t>y(lag5)</t>
  </si>
  <si>
    <t>y(lag6)</t>
  </si>
  <si>
    <t>y(lag7)</t>
  </si>
  <si>
    <t>y(lag8)</t>
  </si>
  <si>
    <t>y(lag10)</t>
  </si>
  <si>
    <t>y(lag11)</t>
  </si>
  <si>
    <t>y(lag12)</t>
  </si>
  <si>
    <t>yhat</t>
  </si>
  <si>
    <t>alpha</t>
  </si>
  <si>
    <t>beta</t>
  </si>
  <si>
    <t>e</t>
  </si>
  <si>
    <t>|e|</t>
  </si>
  <si>
    <t>e^2</t>
  </si>
  <si>
    <t>|e/y|*100</t>
  </si>
  <si>
    <t>MSE</t>
  </si>
  <si>
    <t>MAE</t>
  </si>
  <si>
    <t>MAPE</t>
  </si>
  <si>
    <t>year</t>
  </si>
  <si>
    <t>y(lag13)</t>
  </si>
  <si>
    <t>y(lag14)</t>
  </si>
  <si>
    <t>y(lag15)</t>
  </si>
  <si>
    <t>y(lag9)</t>
  </si>
  <si>
    <t>MEAN</t>
  </si>
  <si>
    <t>SUM</t>
  </si>
  <si>
    <t>denominator for all</t>
  </si>
  <si>
    <t>numer lag1</t>
  </si>
  <si>
    <t>numer lag2</t>
  </si>
  <si>
    <t>numer lag3</t>
  </si>
  <si>
    <t>numer lag5</t>
  </si>
  <si>
    <t>numer lag4</t>
  </si>
  <si>
    <t>numer lag6</t>
  </si>
  <si>
    <t>numer lag7</t>
  </si>
  <si>
    <t>ACFs</t>
  </si>
  <si>
    <t>ACF 1</t>
  </si>
  <si>
    <t>ACF 7</t>
  </si>
  <si>
    <t>ACF 6</t>
  </si>
  <si>
    <t>ACF 5</t>
  </si>
  <si>
    <t>ACF 4</t>
  </si>
  <si>
    <t>ACF 3</t>
  </si>
  <si>
    <t>ACF 2</t>
  </si>
  <si>
    <t>s.e.</t>
  </si>
  <si>
    <t>alfa</t>
  </si>
  <si>
    <t>p-value</t>
  </si>
  <si>
    <t>decision</t>
  </si>
  <si>
    <t>Testing the significance of ACF 2</t>
  </si>
  <si>
    <t xml:space="preserve">upper bound </t>
  </si>
  <si>
    <t xml:space="preserve">lower bound </t>
  </si>
  <si>
    <t xml:space="preserve">95% significance bound </t>
  </si>
  <si>
    <t xml:space="preserve">η p-value είναι μεγαλύτερη από το α έχουμε ένα στατιστικά "μη σημαντικό" αποτέλεσμα και αποδεχόμαστε την Η0 υπόθεση </t>
  </si>
  <si>
    <t>numer lag 8</t>
  </si>
  <si>
    <t>numer lag 9</t>
  </si>
  <si>
    <t>numer lag 10</t>
  </si>
  <si>
    <t>numer lag 11</t>
  </si>
  <si>
    <t>numer lag 12</t>
  </si>
  <si>
    <t>numer lag 13</t>
  </si>
  <si>
    <t>numer lag 14</t>
  </si>
  <si>
    <t>numer lag15</t>
  </si>
  <si>
    <t>ACF 8</t>
  </si>
  <si>
    <t>ACF 9</t>
  </si>
  <si>
    <t>ACF 10</t>
  </si>
  <si>
    <t>ACF 11</t>
  </si>
  <si>
    <t>ACF 12</t>
  </si>
  <si>
    <t>ACF13</t>
  </si>
  <si>
    <t>ACF 14</t>
  </si>
  <si>
    <t>ACF 15</t>
  </si>
  <si>
    <t>Q-test</t>
  </si>
  <si>
    <t>Box-Pierce test</t>
  </si>
  <si>
    <t xml:space="preserve">alfa </t>
  </si>
  <si>
    <t>n</t>
  </si>
  <si>
    <t>μηνιαιος μεσος ορος</t>
  </si>
  <si>
    <t>ετησιος μεσος ορος</t>
  </si>
  <si>
    <t>Μέσος όρος ανά έτος</t>
  </si>
  <si>
    <t>Γενικός μέσος όρος</t>
  </si>
  <si>
    <t xml:space="preserve">decision </t>
  </si>
  <si>
    <t>NAÏVE</t>
  </si>
  <si>
    <t>Yhat</t>
  </si>
  <si>
    <t>(e/y)*100</t>
  </si>
  <si>
    <t>Ustat-numerator</t>
  </si>
  <si>
    <t>Ustat-denumanator</t>
  </si>
  <si>
    <t>Theil's Ustat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</si>
  <si>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</si>
  <si>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</si>
  <si>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</si>
  <si>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</si>
  <si>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</si>
  <si>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</si>
  <si>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</si>
  <si>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</si>
  <si>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</si>
  <si>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</si>
  <si>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</si>
  <si>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</si>
  <si>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</si>
  <si>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</si>
  <si>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Level(95,0%)</t>
  </si>
  <si>
    <t>Largest(2)</t>
  </si>
  <si>
    <t>Smallest(2)</t>
  </si>
  <si>
    <t>jarque bera</t>
  </si>
  <si>
    <t>n/6</t>
  </si>
  <si>
    <t>JB</t>
  </si>
  <si>
    <t>x^2</t>
  </si>
  <si>
    <t>"JB&gt;X^2 τοτε Η0 απορριπτεται &gt;εχουμε μη κανονικη κατανομη"</t>
  </si>
  <si>
    <t>Bin</t>
  </si>
  <si>
    <t>More</t>
  </si>
  <si>
    <t>Frequency</t>
  </si>
  <si>
    <t>ACF</t>
  </si>
  <si>
    <t>Upper confidence limit</t>
  </si>
  <si>
    <t>Lower confidence limit</t>
  </si>
  <si>
    <r>
      <t>r</t>
    </r>
    <r>
      <rPr>
        <b/>
        <vertAlign val="subscript"/>
        <sz val="12"/>
        <color rgb="FF000000"/>
        <rFont val="Calibri"/>
        <family val="2"/>
        <charset val="238"/>
      </rPr>
      <t>k1</t>
    </r>
  </si>
  <si>
    <t>Υστέρηση</t>
  </si>
  <si>
    <t>loge(y)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</si>
  <si>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</si>
  <si>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</si>
  <si>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</si>
  <si>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</si>
  <si>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</si>
  <si>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</si>
  <si>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</si>
  <si>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</si>
  <si>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</si>
  <si>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</si>
  <si>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</si>
  <si>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</si>
  <si>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</si>
  <si>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</si>
  <si>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</si>
  <si>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</si>
  <si>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</si>
  <si>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</si>
  <si>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</si>
  <si>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</si>
  <si>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</si>
  <si>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</si>
  <si>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RESIDUAL OUTPUT</t>
  </si>
  <si>
    <t>Observation</t>
  </si>
  <si>
    <t>Residuals</t>
  </si>
  <si>
    <t>Standard Residuals</t>
  </si>
  <si>
    <t>PROBABILITY OUTPUT</t>
  </si>
  <si>
    <t>Percentile</t>
  </si>
  <si>
    <t>Predicted loge(y)</t>
  </si>
  <si>
    <t>Predicted Y</t>
  </si>
  <si>
    <t>Y</t>
  </si>
  <si>
    <t>SR</t>
  </si>
  <si>
    <t>SSR</t>
  </si>
  <si>
    <t>t(2022)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</si>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</sst>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E+00"/>
  </numFmts>
  <fonts count="28" x14ac:knownFonts="1">
    <font>
      <sz val="10"/>
      <color rgb="FF000000"/>
      <name val="Times New Roman"/>
      <charset val="204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238"/>
    </font>
    <font>
      <sz val="8"/>
      <color rgb="FF000000"/>
      <name val="Arial"/>
      <family val="2"/>
    </font>
    <font>
      <b/>
      <sz val="10"/>
      <color rgb="FF000000"/>
      <name val="Times New Roman"/>
      <family val="1"/>
      <charset val="238"/>
    </font>
    <font>
      <b/>
      <i/>
      <sz val="10"/>
      <color rgb="FF000000"/>
      <name val="Times New Roman"/>
      <family val="1"/>
      <charset val="238"/>
    </font>
    <font>
      <sz val="10"/>
      <color rgb="FF000000"/>
      <name val="Times New Roman"/>
      <family val="1"/>
      <charset val="238"/>
    </font>
    <font>
      <b/>
      <sz val="10"/>
      <color rgb="FF000000"/>
      <name val="Times New Roman"/>
      <family val="1"/>
      <charset val="161"/>
    </font>
    <font>
      <b/>
      <sz val="10"/>
      <color rgb="FF0070C0"/>
      <name val="Times New Roman"/>
      <family val="1"/>
      <charset val="161"/>
    </font>
    <font>
      <sz val="10"/>
      <color rgb="FFC00000"/>
      <name val="Times New Roman"/>
      <family val="1"/>
      <charset val="161"/>
    </font>
    <font>
      <sz val="14"/>
      <color rgb="FF000000"/>
      <name val="Times New Roman"/>
      <family val="1"/>
      <charset val="161"/>
    </font>
    <font>
      <sz val="10"/>
      <color rgb="FF000000"/>
      <name val="Times New Roman"/>
      <family val="1"/>
      <charset val="161"/>
    </font>
    <font>
      <sz val="12"/>
      <color rgb="FF000000"/>
      <name val="Times New Roman"/>
      <family val="1"/>
      <charset val="161"/>
    </font>
    <font>
      <b/>
      <sz val="14"/>
      <color rgb="FF000000"/>
      <name val="Times New Roman"/>
      <family val="1"/>
      <charset val="161"/>
    </font>
    <font>
      <b/>
      <sz val="12"/>
      <color rgb="FF000000"/>
      <name val="Times New Roman"/>
      <family val="1"/>
      <charset val="161"/>
    </font>
    <font>
      <sz val="10"/>
      <color rgb="FFFF0000"/>
      <name val="Times New Roman"/>
      <family val="1"/>
      <charset val="161"/>
    </font>
    <font>
      <sz val="16"/>
      <color rgb="FF000000"/>
      <name val="Times New Roman"/>
      <family val="1"/>
      <charset val="161"/>
    </font>
    <font>
      <b/>
      <sz val="11"/>
      <color rgb="FF3F3F3F"/>
      <name val="Calibri"/>
      <family val="2"/>
      <charset val="161"/>
      <scheme val="minor"/>
    </font>
    <font>
      <sz val="10"/>
      <color rgb="FFFF0000"/>
      <name val="Times New Roman"/>
      <family val="1"/>
      <charset val="238"/>
    </font>
    <font>
      <sz val="11"/>
      <color rgb="FF00610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color rgb="FF006100"/>
      <name val="Calibri"/>
      <family val="2"/>
      <charset val="238"/>
      <scheme val="minor"/>
    </font>
    <font>
      <i/>
      <sz val="10"/>
      <color rgb="FF000000"/>
      <name val="Times New Roman"/>
      <family val="1"/>
      <charset val="238"/>
    </font>
    <font>
      <b/>
      <sz val="12"/>
      <color rgb="FF000000"/>
      <name val="Calibri"/>
      <family val="2"/>
      <charset val="238"/>
    </font>
    <font>
      <b/>
      <vertAlign val="subscript"/>
      <sz val="12"/>
      <color rgb="FF000000"/>
      <name val="Calibri"/>
      <family val="2"/>
      <charset val="238"/>
    </font>
    <font>
      <b/>
      <sz val="12"/>
      <color rgb="FF000000"/>
      <name val="Calibri"/>
      <family val="2"/>
      <charset val="238"/>
      <scheme val="minor"/>
    </font>
    <font>
      <b/>
      <i/>
      <sz val="10"/>
      <name val="Arial"/>
      <family val="2"/>
      <charset val="161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theme="5" tint="0.79998168889431442"/>
        <bgColor indexed="65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8" fillId="3" borderId="6" applyNumberFormat="0" applyAlignment="0" applyProtection="0"/>
    <xf numFmtId="0" fontId="20" fillId="4" borderId="0" applyNumberFormat="0" applyBorder="0" applyAlignment="0" applyProtection="0"/>
    <xf numFmtId="0" fontId="2" fillId="5" borderId="0" applyNumberFormat="0" applyBorder="0" applyAlignment="0" applyProtection="0"/>
    <xf numFmtId="0" fontId="7" fillId="0" borderId="0"/>
    <xf numFmtId="0" fontId="1" fillId="5" borderId="0" applyNumberFormat="0" applyBorder="0" applyAlignment="0" applyProtection="0"/>
  </cellStyleXfs>
  <cellXfs count="47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1" fontId="4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vertical="top" wrapText="1"/>
    </xf>
    <xf numFmtId="1" fontId="4" fillId="0" borderId="1" xfId="0" applyNumberFormat="1" applyFont="1" applyFill="1" applyBorder="1" applyAlignment="1">
      <alignment horizontal="center" vertical="top" shrinkToFit="1"/>
    </xf>
    <xf numFmtId="1" fontId="4" fillId="0" borderId="1" xfId="0" applyNumberFormat="1" applyFont="1" applyFill="1" applyBorder="1" applyAlignment="1">
      <alignment horizontal="center" vertical="top" wrapText="1" shrinkToFit="1"/>
    </xf>
    <xf numFmtId="0" fontId="6" fillId="2" borderId="2" xfId="0" applyFont="1" applyFill="1" applyBorder="1" applyAlignment="1">
      <alignment horizontal="left" wrapText="1"/>
    </xf>
    <xf numFmtId="1" fontId="4" fillId="0" borderId="2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left" vertical="top"/>
    </xf>
    <xf numFmtId="0" fontId="5" fillId="0" borderId="3" xfId="0" applyFont="1" applyFill="1" applyBorder="1" applyAlignment="1">
      <alignment horizontal="center"/>
    </xf>
    <xf numFmtId="1" fontId="4" fillId="0" borderId="4" xfId="0" applyNumberFormat="1" applyFont="1" applyFill="1" applyBorder="1" applyAlignment="1">
      <alignment horizontal="center" vertical="top" shrinkToFit="1"/>
    </xf>
    <xf numFmtId="1" fontId="4" fillId="0" borderId="5" xfId="0" applyNumberFormat="1" applyFont="1" applyFill="1" applyBorder="1" applyAlignment="1">
      <alignment horizontal="center" vertical="top" shrinkToFit="1"/>
    </xf>
    <xf numFmtId="0" fontId="7" fillId="0" borderId="0" xfId="0" applyFont="1" applyFill="1" applyBorder="1" applyAlignment="1">
      <alignment horizontal="left" vertical="top"/>
    </xf>
    <xf numFmtId="0" fontId="0" fillId="0" borderId="0" xfId="0"/>
    <xf numFmtId="0" fontId="7" fillId="0" borderId="0" xfId="0" applyFont="1"/>
    <xf numFmtId="0" fontId="5" fillId="0" borderId="0" xfId="0" applyFont="1"/>
    <xf numFmtId="0" fontId="5" fillId="0" borderId="0" xfId="0" applyFont="1" applyFill="1" applyBorder="1" applyAlignment="1">
      <alignment horizontal="left" vertical="top"/>
    </xf>
    <xf numFmtId="0" fontId="8" fillId="0" borderId="0" xfId="0" applyFont="1"/>
    <xf numFmtId="0" fontId="9" fillId="0" borderId="0" xfId="0" applyFont="1"/>
    <xf numFmtId="0" fontId="10" fillId="0" borderId="0" xfId="0" applyFont="1" applyFill="1" applyBorder="1" applyAlignment="1">
      <alignment horizontal="left" vertical="top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2" fillId="0" borderId="0" xfId="0" applyFont="1" applyFill="1" applyBorder="1" applyAlignment="1">
      <alignment horizontal="left" vertical="top"/>
    </xf>
    <xf numFmtId="0" fontId="16" fillId="0" borderId="0" xfId="0" applyFont="1" applyFill="1" applyBorder="1" applyAlignment="1">
      <alignment horizontal="left" vertical="top"/>
    </xf>
    <xf numFmtId="0" fontId="17" fillId="0" borderId="0" xfId="0" applyFont="1"/>
    <xf numFmtId="2" fontId="0" fillId="0" borderId="0" xfId="0" applyNumberFormat="1" applyFill="1" applyBorder="1" applyAlignment="1">
      <alignment horizontal="left" vertical="top"/>
    </xf>
    <xf numFmtId="0" fontId="19" fillId="0" borderId="0" xfId="0" applyFont="1"/>
    <xf numFmtId="0" fontId="18" fillId="3" borderId="6" xfId="1" applyAlignment="1">
      <alignment horizontal="left" vertical="top"/>
    </xf>
    <xf numFmtId="0" fontId="18" fillId="3" borderId="6" xfId="1"/>
    <xf numFmtId="0" fontId="20" fillId="4" borderId="6" xfId="2" applyBorder="1" applyAlignment="1">
      <alignment horizontal="left" vertical="top"/>
    </xf>
    <xf numFmtId="0" fontId="22" fillId="4" borderId="6" xfId="2" applyFont="1" applyBorder="1" applyAlignment="1">
      <alignment horizontal="left" vertical="top"/>
    </xf>
    <xf numFmtId="0" fontId="21" fillId="5" borderId="1" xfId="3" applyFont="1" applyBorder="1"/>
    <xf numFmtId="0" fontId="21" fillId="5" borderId="1" xfId="3" applyFont="1" applyBorder="1" applyAlignment="1">
      <alignment horizontal="left" vertical="top"/>
    </xf>
    <xf numFmtId="0" fontId="2" fillId="5" borderId="1" xfId="3" applyBorder="1" applyAlignment="1">
      <alignment horizontal="left" vertical="top"/>
    </xf>
    <xf numFmtId="0" fontId="0" fillId="0" borderId="0" xfId="0" applyFill="1" applyBorder="1" applyAlignment="1">
      <alignment vertical="top"/>
    </xf>
    <xf numFmtId="0" fontId="0" fillId="0" borderId="7" xfId="0" applyFill="1" applyBorder="1" applyAlignment="1">
      <alignment vertical="top"/>
    </xf>
    <xf numFmtId="0" fontId="23" fillId="0" borderId="8" xfId="0" applyFont="1" applyFill="1" applyBorder="1" applyAlignment="1">
      <alignment horizontal="centerContinuous" vertical="top"/>
    </xf>
    <xf numFmtId="164" fontId="5" fillId="0" borderId="0" xfId="0" applyNumberFormat="1" applyFont="1" applyFill="1" applyBorder="1" applyAlignment="1">
      <alignment horizontal="left" vertical="top"/>
    </xf>
    <xf numFmtId="0" fontId="23" fillId="0" borderId="8" xfId="0" applyFont="1" applyFill="1" applyBorder="1" applyAlignment="1">
      <alignment horizontal="center" vertical="top"/>
    </xf>
    <xf numFmtId="0" fontId="24" fillId="0" borderId="0" xfId="0" applyFont="1" applyFill="1" applyBorder="1" applyAlignment="1">
      <alignment horizontal="left" vertical="top"/>
    </xf>
    <xf numFmtId="0" fontId="26" fillId="0" borderId="0" xfId="0" applyFont="1" applyFill="1" applyBorder="1" applyAlignment="1">
      <alignment horizontal="left" vertical="top"/>
    </xf>
    <xf numFmtId="0" fontId="27" fillId="0" borderId="0" xfId="0" applyFont="1" applyFill="1" applyBorder="1" applyAlignment="1">
      <alignment horizontal="center"/>
    </xf>
  </cellXfs>
  <cellStyles count="6">
    <cellStyle name="20% - Accent2" xfId="3" builtinId="34"/>
    <cellStyle name="20% - Accent2 2" xfId="5"/>
    <cellStyle name="Good" xfId="2" builtinId="26"/>
    <cellStyle name="Normal" xfId="0" builtinId="0"/>
    <cellStyle name="Normal 2" xfId="4"/>
    <cellStyle name="Output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'Table 1'!$A$2:$A$12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'Table 1'!$N$2:$N$12</c:f>
              <c:numCache>
                <c:formatCode>0</c:formatCode>
                <c:ptCount val="11"/>
                <c:pt idx="0">
                  <c:v>1811</c:v>
                </c:pt>
                <c:pt idx="1">
                  <c:v>1864</c:v>
                </c:pt>
                <c:pt idx="2">
                  <c:v>2433</c:v>
                </c:pt>
                <c:pt idx="3">
                  <c:v>2668</c:v>
                </c:pt>
                <c:pt idx="4">
                  <c:v>2618</c:v>
                </c:pt>
                <c:pt idx="5">
                  <c:v>3085</c:v>
                </c:pt>
                <c:pt idx="6">
                  <c:v>2662</c:v>
                </c:pt>
                <c:pt idx="7">
                  <c:v>4020</c:v>
                </c:pt>
                <c:pt idx="8">
                  <c:v>2697</c:v>
                </c:pt>
                <c:pt idx="9">
                  <c:v>3545</c:v>
                </c:pt>
                <c:pt idx="10">
                  <c:v>3150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371584"/>
        <c:axId val="289274048"/>
      </c:lineChart>
      <c:catAx>
        <c:axId val="386371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9274048"/>
        <c:crosses val="autoZero"/>
        <c:auto val="1"/>
        <c:lblAlgn val="ctr"/>
        <c:lblOffset val="100"/>
        <c:noMultiLvlLbl val="0"/>
      </c:catAx>
      <c:valAx>
        <c:axId val="28927404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3863715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l-GR"/>
              <a:t>Πωλήσεις 2012-2022</a:t>
            </a:r>
          </a:p>
          <a:p>
            <a:pPr>
              <a:defRPr/>
            </a:pPr>
            <a:endParaRPr lang="en-GB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5303546314850839E-2"/>
          <c:y val="0.10401770674188116"/>
          <c:w val="0.84934568347478401"/>
          <c:h val="0.8308967294480160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Sheet1!$A$2:$A$133</c:f>
              <c:numCache>
                <c:formatCode>General</c:formatCode>
                <c:ptCount val="132"/>
                <c:pt idx="11">
                  <c:v>2012</c:v>
                </c:pt>
                <c:pt idx="23">
                  <c:v>2013</c:v>
                </c:pt>
                <c:pt idx="35">
                  <c:v>2014</c:v>
                </c:pt>
                <c:pt idx="47">
                  <c:v>2015</c:v>
                </c:pt>
                <c:pt idx="59">
                  <c:v>2016</c:v>
                </c:pt>
                <c:pt idx="71">
                  <c:v>2017</c:v>
                </c:pt>
                <c:pt idx="83">
                  <c:v>2018</c:v>
                </c:pt>
                <c:pt idx="95">
                  <c:v>2019</c:v>
                </c:pt>
                <c:pt idx="107">
                  <c:v>2020</c:v>
                </c:pt>
                <c:pt idx="119">
                  <c:v>2021</c:v>
                </c:pt>
                <c:pt idx="131">
                  <c:v>2022</c:v>
                </c:pt>
              </c:numCache>
            </c:numRef>
          </c:cat>
          <c:val>
            <c:numRef>
              <c:f>Sheet1!$C$2:$C$133</c:f>
              <c:numCache>
                <c:formatCode>General</c:formatCode>
                <c:ptCount val="132"/>
                <c:pt idx="0">
                  <c:v>233</c:v>
                </c:pt>
                <c:pt idx="1">
                  <c:v>106</c:v>
                </c:pt>
                <c:pt idx="2">
                  <c:v>177</c:v>
                </c:pt>
                <c:pt idx="3">
                  <c:v>175</c:v>
                </c:pt>
                <c:pt idx="4">
                  <c:v>178</c:v>
                </c:pt>
                <c:pt idx="5">
                  <c:v>170</c:v>
                </c:pt>
                <c:pt idx="6">
                  <c:v>199</c:v>
                </c:pt>
                <c:pt idx="7">
                  <c:v>117</c:v>
                </c:pt>
                <c:pt idx="8">
                  <c:v>122</c:v>
                </c:pt>
                <c:pt idx="9">
                  <c:v>136</c:v>
                </c:pt>
                <c:pt idx="10">
                  <c:v>130</c:v>
                </c:pt>
                <c:pt idx="11">
                  <c:v>68</c:v>
                </c:pt>
                <c:pt idx="12">
                  <c:v>179</c:v>
                </c:pt>
                <c:pt idx="13">
                  <c:v>104</c:v>
                </c:pt>
                <c:pt idx="14">
                  <c:v>133</c:v>
                </c:pt>
                <c:pt idx="15">
                  <c:v>163</c:v>
                </c:pt>
                <c:pt idx="16">
                  <c:v>175</c:v>
                </c:pt>
                <c:pt idx="17">
                  <c:v>163</c:v>
                </c:pt>
                <c:pt idx="18">
                  <c:v>156</c:v>
                </c:pt>
                <c:pt idx="19">
                  <c:v>123</c:v>
                </c:pt>
                <c:pt idx="20">
                  <c:v>145</c:v>
                </c:pt>
                <c:pt idx="21">
                  <c:v>197</c:v>
                </c:pt>
                <c:pt idx="22">
                  <c:v>187</c:v>
                </c:pt>
                <c:pt idx="23">
                  <c:v>139</c:v>
                </c:pt>
                <c:pt idx="24">
                  <c:v>293</c:v>
                </c:pt>
                <c:pt idx="25">
                  <c:v>157</c:v>
                </c:pt>
                <c:pt idx="26">
                  <c:v>168</c:v>
                </c:pt>
                <c:pt idx="27">
                  <c:v>174</c:v>
                </c:pt>
                <c:pt idx="28">
                  <c:v>342</c:v>
                </c:pt>
                <c:pt idx="29">
                  <c:v>227</c:v>
                </c:pt>
                <c:pt idx="30">
                  <c:v>207</c:v>
                </c:pt>
                <c:pt idx="31">
                  <c:v>150</c:v>
                </c:pt>
                <c:pt idx="32">
                  <c:v>171</c:v>
                </c:pt>
                <c:pt idx="33">
                  <c:v>217</c:v>
                </c:pt>
                <c:pt idx="34">
                  <c:v>149</c:v>
                </c:pt>
                <c:pt idx="35">
                  <c:v>178</c:v>
                </c:pt>
                <c:pt idx="36">
                  <c:v>223</c:v>
                </c:pt>
                <c:pt idx="37">
                  <c:v>159</c:v>
                </c:pt>
                <c:pt idx="38">
                  <c:v>310</c:v>
                </c:pt>
                <c:pt idx="39">
                  <c:v>370</c:v>
                </c:pt>
                <c:pt idx="40">
                  <c:v>282</c:v>
                </c:pt>
                <c:pt idx="41">
                  <c:v>225</c:v>
                </c:pt>
                <c:pt idx="42">
                  <c:v>216</c:v>
                </c:pt>
                <c:pt idx="43">
                  <c:v>130</c:v>
                </c:pt>
                <c:pt idx="44">
                  <c:v>206</c:v>
                </c:pt>
                <c:pt idx="45">
                  <c:v>147</c:v>
                </c:pt>
                <c:pt idx="46">
                  <c:v>197</c:v>
                </c:pt>
                <c:pt idx="47">
                  <c:v>203</c:v>
                </c:pt>
                <c:pt idx="48">
                  <c:v>160</c:v>
                </c:pt>
                <c:pt idx="49">
                  <c:v>181</c:v>
                </c:pt>
                <c:pt idx="50">
                  <c:v>225</c:v>
                </c:pt>
                <c:pt idx="51">
                  <c:v>417</c:v>
                </c:pt>
                <c:pt idx="52">
                  <c:v>442</c:v>
                </c:pt>
                <c:pt idx="53">
                  <c:v>245</c:v>
                </c:pt>
                <c:pt idx="54">
                  <c:v>263</c:v>
                </c:pt>
                <c:pt idx="55">
                  <c:v>118</c:v>
                </c:pt>
                <c:pt idx="56">
                  <c:v>144</c:v>
                </c:pt>
                <c:pt idx="57">
                  <c:v>144</c:v>
                </c:pt>
                <c:pt idx="58">
                  <c:v>188</c:v>
                </c:pt>
                <c:pt idx="59">
                  <c:v>91</c:v>
                </c:pt>
                <c:pt idx="60">
                  <c:v>310</c:v>
                </c:pt>
                <c:pt idx="61">
                  <c:v>226</c:v>
                </c:pt>
                <c:pt idx="62">
                  <c:v>254</c:v>
                </c:pt>
                <c:pt idx="63">
                  <c:v>385</c:v>
                </c:pt>
                <c:pt idx="64">
                  <c:v>318</c:v>
                </c:pt>
                <c:pt idx="65">
                  <c:v>318</c:v>
                </c:pt>
                <c:pt idx="66">
                  <c:v>181</c:v>
                </c:pt>
                <c:pt idx="67">
                  <c:v>173</c:v>
                </c:pt>
                <c:pt idx="68">
                  <c:v>248</c:v>
                </c:pt>
                <c:pt idx="69">
                  <c:v>262</c:v>
                </c:pt>
                <c:pt idx="70">
                  <c:v>209</c:v>
                </c:pt>
                <c:pt idx="71">
                  <c:v>201</c:v>
                </c:pt>
                <c:pt idx="72">
                  <c:v>313</c:v>
                </c:pt>
                <c:pt idx="73">
                  <c:v>144</c:v>
                </c:pt>
                <c:pt idx="74">
                  <c:v>206</c:v>
                </c:pt>
                <c:pt idx="75">
                  <c:v>300</c:v>
                </c:pt>
                <c:pt idx="76">
                  <c:v>276</c:v>
                </c:pt>
                <c:pt idx="77">
                  <c:v>296</c:v>
                </c:pt>
                <c:pt idx="78">
                  <c:v>281</c:v>
                </c:pt>
                <c:pt idx="79">
                  <c:v>335</c:v>
                </c:pt>
                <c:pt idx="80">
                  <c:v>44</c:v>
                </c:pt>
                <c:pt idx="81">
                  <c:v>195</c:v>
                </c:pt>
                <c:pt idx="82">
                  <c:v>141</c:v>
                </c:pt>
                <c:pt idx="83">
                  <c:v>131</c:v>
                </c:pt>
                <c:pt idx="84">
                  <c:v>370</c:v>
                </c:pt>
                <c:pt idx="85">
                  <c:v>240</c:v>
                </c:pt>
                <c:pt idx="86">
                  <c:v>219</c:v>
                </c:pt>
                <c:pt idx="87">
                  <c:v>425</c:v>
                </c:pt>
                <c:pt idx="88">
                  <c:v>451</c:v>
                </c:pt>
                <c:pt idx="89">
                  <c:v>386</c:v>
                </c:pt>
                <c:pt idx="90">
                  <c:v>545</c:v>
                </c:pt>
                <c:pt idx="91">
                  <c:v>828</c:v>
                </c:pt>
                <c:pt idx="92">
                  <c:v>65</c:v>
                </c:pt>
                <c:pt idx="93">
                  <c:v>121</c:v>
                </c:pt>
                <c:pt idx="94">
                  <c:v>254</c:v>
                </c:pt>
                <c:pt idx="95">
                  <c:v>116</c:v>
                </c:pt>
                <c:pt idx="96">
                  <c:v>358</c:v>
                </c:pt>
                <c:pt idx="97">
                  <c:v>190</c:v>
                </c:pt>
                <c:pt idx="98">
                  <c:v>108</c:v>
                </c:pt>
                <c:pt idx="99">
                  <c:v>175</c:v>
                </c:pt>
                <c:pt idx="100">
                  <c:v>214</c:v>
                </c:pt>
                <c:pt idx="101">
                  <c:v>298</c:v>
                </c:pt>
                <c:pt idx="102">
                  <c:v>326</c:v>
                </c:pt>
                <c:pt idx="103">
                  <c:v>216</c:v>
                </c:pt>
                <c:pt idx="104">
                  <c:v>165</c:v>
                </c:pt>
                <c:pt idx="105">
                  <c:v>229</c:v>
                </c:pt>
                <c:pt idx="106">
                  <c:v>263</c:v>
                </c:pt>
                <c:pt idx="107">
                  <c:v>155</c:v>
                </c:pt>
                <c:pt idx="108">
                  <c:v>235</c:v>
                </c:pt>
                <c:pt idx="109">
                  <c:v>242</c:v>
                </c:pt>
                <c:pt idx="110">
                  <c:v>302</c:v>
                </c:pt>
                <c:pt idx="111">
                  <c:v>369</c:v>
                </c:pt>
                <c:pt idx="112">
                  <c:v>326</c:v>
                </c:pt>
                <c:pt idx="113">
                  <c:v>490</c:v>
                </c:pt>
                <c:pt idx="114">
                  <c:v>228</c:v>
                </c:pt>
                <c:pt idx="115">
                  <c:v>257</c:v>
                </c:pt>
                <c:pt idx="116">
                  <c:v>249</c:v>
                </c:pt>
                <c:pt idx="117">
                  <c:v>302</c:v>
                </c:pt>
                <c:pt idx="118">
                  <c:v>302</c:v>
                </c:pt>
                <c:pt idx="119">
                  <c:v>243</c:v>
                </c:pt>
                <c:pt idx="120">
                  <c:v>233</c:v>
                </c:pt>
                <c:pt idx="121">
                  <c:v>230</c:v>
                </c:pt>
                <c:pt idx="122">
                  <c:v>284</c:v>
                </c:pt>
                <c:pt idx="123">
                  <c:v>343</c:v>
                </c:pt>
                <c:pt idx="124">
                  <c:v>359</c:v>
                </c:pt>
                <c:pt idx="125">
                  <c:v>362</c:v>
                </c:pt>
                <c:pt idx="126">
                  <c:v>271</c:v>
                </c:pt>
                <c:pt idx="127">
                  <c:v>153</c:v>
                </c:pt>
                <c:pt idx="128">
                  <c:v>231</c:v>
                </c:pt>
                <c:pt idx="129">
                  <c:v>163</c:v>
                </c:pt>
                <c:pt idx="130">
                  <c:v>272</c:v>
                </c:pt>
                <c:pt idx="131">
                  <c:v>249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375168"/>
        <c:axId val="385804544"/>
      </c:lineChart>
      <c:catAx>
        <c:axId val="38637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385804544"/>
        <c:crosses val="autoZero"/>
        <c:auto val="1"/>
        <c:lblAlgn val="ctr"/>
        <c:lblOffset val="100"/>
        <c:noMultiLvlLbl val="0"/>
      </c:catAx>
      <c:valAx>
        <c:axId val="38580454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386375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l-GR"/>
              <a:t>Πωλήσεις σε σχέση με τον μέσο όρο ανά έτος</a:t>
            </a:r>
            <a:endParaRPr lang="en-GB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Sheet1!$A$2:$A$133</c:f>
              <c:numCache>
                <c:formatCode>General</c:formatCode>
                <c:ptCount val="132"/>
                <c:pt idx="11">
                  <c:v>2012</c:v>
                </c:pt>
                <c:pt idx="23">
                  <c:v>2013</c:v>
                </c:pt>
                <c:pt idx="35">
                  <c:v>2014</c:v>
                </c:pt>
                <c:pt idx="47">
                  <c:v>2015</c:v>
                </c:pt>
                <c:pt idx="59">
                  <c:v>2016</c:v>
                </c:pt>
                <c:pt idx="71">
                  <c:v>2017</c:v>
                </c:pt>
                <c:pt idx="83">
                  <c:v>2018</c:v>
                </c:pt>
                <c:pt idx="95">
                  <c:v>2019</c:v>
                </c:pt>
                <c:pt idx="107">
                  <c:v>2020</c:v>
                </c:pt>
                <c:pt idx="119">
                  <c:v>2021</c:v>
                </c:pt>
                <c:pt idx="131">
                  <c:v>2022</c:v>
                </c:pt>
              </c:numCache>
            </c:numRef>
          </c:cat>
          <c:val>
            <c:numRef>
              <c:f>Sheet1!$C$2:$C$133</c:f>
              <c:numCache>
                <c:formatCode>General</c:formatCode>
                <c:ptCount val="132"/>
                <c:pt idx="0">
                  <c:v>233</c:v>
                </c:pt>
                <c:pt idx="1">
                  <c:v>106</c:v>
                </c:pt>
                <c:pt idx="2">
                  <c:v>177</c:v>
                </c:pt>
                <c:pt idx="3">
                  <c:v>175</c:v>
                </c:pt>
                <c:pt idx="4">
                  <c:v>178</c:v>
                </c:pt>
                <c:pt idx="5">
                  <c:v>170</c:v>
                </c:pt>
                <c:pt idx="6">
                  <c:v>199</c:v>
                </c:pt>
                <c:pt idx="7">
                  <c:v>117</c:v>
                </c:pt>
                <c:pt idx="8">
                  <c:v>122</c:v>
                </c:pt>
                <c:pt idx="9">
                  <c:v>136</c:v>
                </c:pt>
                <c:pt idx="10">
                  <c:v>130</c:v>
                </c:pt>
                <c:pt idx="11">
                  <c:v>68</c:v>
                </c:pt>
                <c:pt idx="12">
                  <c:v>179</c:v>
                </c:pt>
                <c:pt idx="13">
                  <c:v>104</c:v>
                </c:pt>
                <c:pt idx="14">
                  <c:v>133</c:v>
                </c:pt>
                <c:pt idx="15">
                  <c:v>163</c:v>
                </c:pt>
                <c:pt idx="16">
                  <c:v>175</c:v>
                </c:pt>
                <c:pt idx="17">
                  <c:v>163</c:v>
                </c:pt>
                <c:pt idx="18">
                  <c:v>156</c:v>
                </c:pt>
                <c:pt idx="19">
                  <c:v>123</c:v>
                </c:pt>
                <c:pt idx="20">
                  <c:v>145</c:v>
                </c:pt>
                <c:pt idx="21">
                  <c:v>197</c:v>
                </c:pt>
                <c:pt idx="22">
                  <c:v>187</c:v>
                </c:pt>
                <c:pt idx="23">
                  <c:v>139</c:v>
                </c:pt>
                <c:pt idx="24">
                  <c:v>293</c:v>
                </c:pt>
                <c:pt idx="25">
                  <c:v>157</c:v>
                </c:pt>
                <c:pt idx="26">
                  <c:v>168</c:v>
                </c:pt>
                <c:pt idx="27">
                  <c:v>174</c:v>
                </c:pt>
                <c:pt idx="28">
                  <c:v>342</c:v>
                </c:pt>
                <c:pt idx="29">
                  <c:v>227</c:v>
                </c:pt>
                <c:pt idx="30">
                  <c:v>207</c:v>
                </c:pt>
                <c:pt idx="31">
                  <c:v>150</c:v>
                </c:pt>
                <c:pt idx="32">
                  <c:v>171</c:v>
                </c:pt>
                <c:pt idx="33">
                  <c:v>217</c:v>
                </c:pt>
                <c:pt idx="34">
                  <c:v>149</c:v>
                </c:pt>
                <c:pt idx="35">
                  <c:v>178</c:v>
                </c:pt>
                <c:pt idx="36">
                  <c:v>223</c:v>
                </c:pt>
                <c:pt idx="37">
                  <c:v>159</c:v>
                </c:pt>
                <c:pt idx="38">
                  <c:v>310</c:v>
                </c:pt>
                <c:pt idx="39">
                  <c:v>370</c:v>
                </c:pt>
                <c:pt idx="40">
                  <c:v>282</c:v>
                </c:pt>
                <c:pt idx="41">
                  <c:v>225</c:v>
                </c:pt>
                <c:pt idx="42">
                  <c:v>216</c:v>
                </c:pt>
                <c:pt idx="43">
                  <c:v>130</c:v>
                </c:pt>
                <c:pt idx="44">
                  <c:v>206</c:v>
                </c:pt>
                <c:pt idx="45">
                  <c:v>147</c:v>
                </c:pt>
                <c:pt idx="46">
                  <c:v>197</c:v>
                </c:pt>
                <c:pt idx="47">
                  <c:v>203</c:v>
                </c:pt>
                <c:pt idx="48">
                  <c:v>160</c:v>
                </c:pt>
                <c:pt idx="49">
                  <c:v>181</c:v>
                </c:pt>
                <c:pt idx="50">
                  <c:v>225</c:v>
                </c:pt>
                <c:pt idx="51">
                  <c:v>417</c:v>
                </c:pt>
                <c:pt idx="52">
                  <c:v>442</c:v>
                </c:pt>
                <c:pt idx="53">
                  <c:v>245</c:v>
                </c:pt>
                <c:pt idx="54">
                  <c:v>263</c:v>
                </c:pt>
                <c:pt idx="55">
                  <c:v>118</c:v>
                </c:pt>
                <c:pt idx="56">
                  <c:v>144</c:v>
                </c:pt>
                <c:pt idx="57">
                  <c:v>144</c:v>
                </c:pt>
                <c:pt idx="58">
                  <c:v>188</c:v>
                </c:pt>
                <c:pt idx="59">
                  <c:v>91</c:v>
                </c:pt>
                <c:pt idx="60">
                  <c:v>310</c:v>
                </c:pt>
                <c:pt idx="61">
                  <c:v>226</c:v>
                </c:pt>
                <c:pt idx="62">
                  <c:v>254</c:v>
                </c:pt>
                <c:pt idx="63">
                  <c:v>385</c:v>
                </c:pt>
                <c:pt idx="64">
                  <c:v>318</c:v>
                </c:pt>
                <c:pt idx="65">
                  <c:v>318</c:v>
                </c:pt>
                <c:pt idx="66">
                  <c:v>181</c:v>
                </c:pt>
                <c:pt idx="67">
                  <c:v>173</c:v>
                </c:pt>
                <c:pt idx="68">
                  <c:v>248</c:v>
                </c:pt>
                <c:pt idx="69">
                  <c:v>262</c:v>
                </c:pt>
                <c:pt idx="70">
                  <c:v>209</c:v>
                </c:pt>
                <c:pt idx="71">
                  <c:v>201</c:v>
                </c:pt>
                <c:pt idx="72">
                  <c:v>313</c:v>
                </c:pt>
                <c:pt idx="73">
                  <c:v>144</c:v>
                </c:pt>
                <c:pt idx="74">
                  <c:v>206</c:v>
                </c:pt>
                <c:pt idx="75">
                  <c:v>300</c:v>
                </c:pt>
                <c:pt idx="76">
                  <c:v>276</c:v>
                </c:pt>
                <c:pt idx="77">
                  <c:v>296</c:v>
                </c:pt>
                <c:pt idx="78">
                  <c:v>281</c:v>
                </c:pt>
                <c:pt idx="79">
                  <c:v>335</c:v>
                </c:pt>
                <c:pt idx="80">
                  <c:v>44</c:v>
                </c:pt>
                <c:pt idx="81">
                  <c:v>195</c:v>
                </c:pt>
                <c:pt idx="82">
                  <c:v>141</c:v>
                </c:pt>
                <c:pt idx="83">
                  <c:v>131</c:v>
                </c:pt>
                <c:pt idx="84">
                  <c:v>370</c:v>
                </c:pt>
                <c:pt idx="85">
                  <c:v>240</c:v>
                </c:pt>
                <c:pt idx="86">
                  <c:v>219</c:v>
                </c:pt>
                <c:pt idx="87">
                  <c:v>425</c:v>
                </c:pt>
                <c:pt idx="88">
                  <c:v>451</c:v>
                </c:pt>
                <c:pt idx="89">
                  <c:v>386</c:v>
                </c:pt>
                <c:pt idx="90">
                  <c:v>545</c:v>
                </c:pt>
                <c:pt idx="91">
                  <c:v>828</c:v>
                </c:pt>
                <c:pt idx="92">
                  <c:v>65</c:v>
                </c:pt>
                <c:pt idx="93">
                  <c:v>121</c:v>
                </c:pt>
                <c:pt idx="94">
                  <c:v>254</c:v>
                </c:pt>
                <c:pt idx="95">
                  <c:v>116</c:v>
                </c:pt>
                <c:pt idx="96">
                  <c:v>358</c:v>
                </c:pt>
                <c:pt idx="97">
                  <c:v>190</c:v>
                </c:pt>
                <c:pt idx="98">
                  <c:v>108</c:v>
                </c:pt>
                <c:pt idx="99">
                  <c:v>175</c:v>
                </c:pt>
                <c:pt idx="100">
                  <c:v>214</c:v>
                </c:pt>
                <c:pt idx="101">
                  <c:v>298</c:v>
                </c:pt>
                <c:pt idx="102">
                  <c:v>326</c:v>
                </c:pt>
                <c:pt idx="103">
                  <c:v>216</c:v>
                </c:pt>
                <c:pt idx="104">
                  <c:v>165</c:v>
                </c:pt>
                <c:pt idx="105">
                  <c:v>229</c:v>
                </c:pt>
                <c:pt idx="106">
                  <c:v>263</c:v>
                </c:pt>
                <c:pt idx="107">
                  <c:v>155</c:v>
                </c:pt>
                <c:pt idx="108">
                  <c:v>235</c:v>
                </c:pt>
                <c:pt idx="109">
                  <c:v>242</c:v>
                </c:pt>
                <c:pt idx="110">
                  <c:v>302</c:v>
                </c:pt>
                <c:pt idx="111">
                  <c:v>369</c:v>
                </c:pt>
                <c:pt idx="112">
                  <c:v>326</c:v>
                </c:pt>
                <c:pt idx="113">
                  <c:v>490</c:v>
                </c:pt>
                <c:pt idx="114">
                  <c:v>228</c:v>
                </c:pt>
                <c:pt idx="115">
                  <c:v>257</c:v>
                </c:pt>
                <c:pt idx="116">
                  <c:v>249</c:v>
                </c:pt>
                <c:pt idx="117">
                  <c:v>302</c:v>
                </c:pt>
                <c:pt idx="118">
                  <c:v>302</c:v>
                </c:pt>
                <c:pt idx="119">
                  <c:v>243</c:v>
                </c:pt>
                <c:pt idx="120">
                  <c:v>233</c:v>
                </c:pt>
                <c:pt idx="121">
                  <c:v>230</c:v>
                </c:pt>
                <c:pt idx="122">
                  <c:v>284</c:v>
                </c:pt>
                <c:pt idx="123">
                  <c:v>343</c:v>
                </c:pt>
                <c:pt idx="124">
                  <c:v>359</c:v>
                </c:pt>
                <c:pt idx="125">
                  <c:v>362</c:v>
                </c:pt>
                <c:pt idx="126">
                  <c:v>271</c:v>
                </c:pt>
                <c:pt idx="127">
                  <c:v>153</c:v>
                </c:pt>
                <c:pt idx="128">
                  <c:v>231</c:v>
                </c:pt>
                <c:pt idx="129">
                  <c:v>163</c:v>
                </c:pt>
                <c:pt idx="130">
                  <c:v>272</c:v>
                </c:pt>
                <c:pt idx="131">
                  <c:v>249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Μέσος όρος ανά έτος</c:v>
                </c:pt>
              </c:strCache>
            </c:strRef>
          </c:tx>
          <c:marker>
            <c:symbol val="none"/>
          </c:marker>
          <c:cat>
            <c:numRef>
              <c:f>Sheet1!$A$2:$A$133</c:f>
              <c:numCache>
                <c:formatCode>General</c:formatCode>
                <c:ptCount val="132"/>
                <c:pt idx="11">
                  <c:v>2012</c:v>
                </c:pt>
                <c:pt idx="23">
                  <c:v>2013</c:v>
                </c:pt>
                <c:pt idx="35">
                  <c:v>2014</c:v>
                </c:pt>
                <c:pt idx="47">
                  <c:v>2015</c:v>
                </c:pt>
                <c:pt idx="59">
                  <c:v>2016</c:v>
                </c:pt>
                <c:pt idx="71">
                  <c:v>2017</c:v>
                </c:pt>
                <c:pt idx="83">
                  <c:v>2018</c:v>
                </c:pt>
                <c:pt idx="95">
                  <c:v>2019</c:v>
                </c:pt>
                <c:pt idx="107">
                  <c:v>2020</c:v>
                </c:pt>
                <c:pt idx="119">
                  <c:v>2021</c:v>
                </c:pt>
                <c:pt idx="131">
                  <c:v>2022</c:v>
                </c:pt>
              </c:numCache>
            </c:numRef>
          </c:cat>
          <c:val>
            <c:numRef>
              <c:f>Sheet1!$E$2:$E$133</c:f>
              <c:numCache>
                <c:formatCode>General</c:formatCode>
                <c:ptCount val="132"/>
                <c:pt idx="0">
                  <c:v>150.91666666666666</c:v>
                </c:pt>
                <c:pt idx="1">
                  <c:v>150.91666666666666</c:v>
                </c:pt>
                <c:pt idx="2">
                  <c:v>150.91666666666666</c:v>
                </c:pt>
                <c:pt idx="3">
                  <c:v>150.91666666666666</c:v>
                </c:pt>
                <c:pt idx="4">
                  <c:v>150.91666666666666</c:v>
                </c:pt>
                <c:pt idx="5">
                  <c:v>150.91666666666666</c:v>
                </c:pt>
                <c:pt idx="6">
                  <c:v>150.91666666666666</c:v>
                </c:pt>
                <c:pt idx="7">
                  <c:v>150.91666666666666</c:v>
                </c:pt>
                <c:pt idx="8">
                  <c:v>150.91666666666666</c:v>
                </c:pt>
                <c:pt idx="9">
                  <c:v>150.91666666666666</c:v>
                </c:pt>
                <c:pt idx="10">
                  <c:v>150.91666666666666</c:v>
                </c:pt>
                <c:pt idx="11">
                  <c:v>150.91666666666666</c:v>
                </c:pt>
                <c:pt idx="12">
                  <c:v>155.33333333333334</c:v>
                </c:pt>
                <c:pt idx="13">
                  <c:v>155.33333333333334</c:v>
                </c:pt>
                <c:pt idx="14">
                  <c:v>155.33333333333334</c:v>
                </c:pt>
                <c:pt idx="15">
                  <c:v>155.33333333333334</c:v>
                </c:pt>
                <c:pt idx="16">
                  <c:v>155.33333333333334</c:v>
                </c:pt>
                <c:pt idx="17">
                  <c:v>155.33333333333334</c:v>
                </c:pt>
                <c:pt idx="18">
                  <c:v>155.33333333333334</c:v>
                </c:pt>
                <c:pt idx="19">
                  <c:v>155.33333333333334</c:v>
                </c:pt>
                <c:pt idx="20">
                  <c:v>155.33333333333334</c:v>
                </c:pt>
                <c:pt idx="21">
                  <c:v>155.33333333333334</c:v>
                </c:pt>
                <c:pt idx="22">
                  <c:v>155.33333333333334</c:v>
                </c:pt>
                <c:pt idx="23">
                  <c:v>155.33333333333334</c:v>
                </c:pt>
                <c:pt idx="24">
                  <c:v>202.75</c:v>
                </c:pt>
                <c:pt idx="25">
                  <c:v>202.75</c:v>
                </c:pt>
                <c:pt idx="26">
                  <c:v>202.75</c:v>
                </c:pt>
                <c:pt idx="27">
                  <c:v>202.75</c:v>
                </c:pt>
                <c:pt idx="28">
                  <c:v>202.75</c:v>
                </c:pt>
                <c:pt idx="29">
                  <c:v>202.75</c:v>
                </c:pt>
                <c:pt idx="30">
                  <c:v>202.75</c:v>
                </c:pt>
                <c:pt idx="31">
                  <c:v>202.75</c:v>
                </c:pt>
                <c:pt idx="32">
                  <c:v>202.75</c:v>
                </c:pt>
                <c:pt idx="33">
                  <c:v>202.75</c:v>
                </c:pt>
                <c:pt idx="34">
                  <c:v>202.75</c:v>
                </c:pt>
                <c:pt idx="35">
                  <c:v>202.75</c:v>
                </c:pt>
                <c:pt idx="36">
                  <c:v>222.33333333333334</c:v>
                </c:pt>
                <c:pt idx="37">
                  <c:v>222.33333333333334</c:v>
                </c:pt>
                <c:pt idx="38">
                  <c:v>222.33333333333334</c:v>
                </c:pt>
                <c:pt idx="39">
                  <c:v>222.33333333333334</c:v>
                </c:pt>
                <c:pt idx="40">
                  <c:v>222.33333333333334</c:v>
                </c:pt>
                <c:pt idx="41">
                  <c:v>222.33333333333334</c:v>
                </c:pt>
                <c:pt idx="42">
                  <c:v>222.33333333333334</c:v>
                </c:pt>
                <c:pt idx="43">
                  <c:v>222.33333333333334</c:v>
                </c:pt>
                <c:pt idx="44">
                  <c:v>222.33333333333334</c:v>
                </c:pt>
                <c:pt idx="45">
                  <c:v>222.33333333333334</c:v>
                </c:pt>
                <c:pt idx="46">
                  <c:v>222.33333333333334</c:v>
                </c:pt>
                <c:pt idx="47">
                  <c:v>222.33333333333334</c:v>
                </c:pt>
                <c:pt idx="48">
                  <c:v>218.16666666666666</c:v>
                </c:pt>
                <c:pt idx="49">
                  <c:v>218.16666666666666</c:v>
                </c:pt>
                <c:pt idx="50">
                  <c:v>218.16666666666666</c:v>
                </c:pt>
                <c:pt idx="51">
                  <c:v>218.16666666666666</c:v>
                </c:pt>
                <c:pt idx="52">
                  <c:v>218.16666666666666</c:v>
                </c:pt>
                <c:pt idx="53">
                  <c:v>218.16666666666666</c:v>
                </c:pt>
                <c:pt idx="54">
                  <c:v>218.16666666666666</c:v>
                </c:pt>
                <c:pt idx="55">
                  <c:v>218.16666666666666</c:v>
                </c:pt>
                <c:pt idx="56">
                  <c:v>218.16666666666666</c:v>
                </c:pt>
                <c:pt idx="57">
                  <c:v>218.16666666666666</c:v>
                </c:pt>
                <c:pt idx="58">
                  <c:v>218.16666666666666</c:v>
                </c:pt>
                <c:pt idx="59">
                  <c:v>218.16666666666666</c:v>
                </c:pt>
                <c:pt idx="60">
                  <c:v>257.08333333333331</c:v>
                </c:pt>
                <c:pt idx="61">
                  <c:v>257.08333333333331</c:v>
                </c:pt>
                <c:pt idx="62">
                  <c:v>257.08333333333331</c:v>
                </c:pt>
                <c:pt idx="63">
                  <c:v>257.08333333333331</c:v>
                </c:pt>
                <c:pt idx="64">
                  <c:v>257.08333333333331</c:v>
                </c:pt>
                <c:pt idx="65">
                  <c:v>257.08333333333331</c:v>
                </c:pt>
                <c:pt idx="66">
                  <c:v>257.08333333333331</c:v>
                </c:pt>
                <c:pt idx="67">
                  <c:v>257.08333333333331</c:v>
                </c:pt>
                <c:pt idx="68">
                  <c:v>257.08333333333331</c:v>
                </c:pt>
                <c:pt idx="69">
                  <c:v>257.08333333333331</c:v>
                </c:pt>
                <c:pt idx="70">
                  <c:v>257.08333333333331</c:v>
                </c:pt>
                <c:pt idx="71">
                  <c:v>257.08333333333331</c:v>
                </c:pt>
                <c:pt idx="72">
                  <c:v>221.83333333333334</c:v>
                </c:pt>
                <c:pt idx="73">
                  <c:v>221.83333333333334</c:v>
                </c:pt>
                <c:pt idx="74">
                  <c:v>221.83333333333334</c:v>
                </c:pt>
                <c:pt idx="75">
                  <c:v>221.83333333333334</c:v>
                </c:pt>
                <c:pt idx="76">
                  <c:v>221.83333333333334</c:v>
                </c:pt>
                <c:pt idx="77">
                  <c:v>221.83333333333334</c:v>
                </c:pt>
                <c:pt idx="78">
                  <c:v>221.83333333333334</c:v>
                </c:pt>
                <c:pt idx="79">
                  <c:v>221.83333333333334</c:v>
                </c:pt>
                <c:pt idx="80">
                  <c:v>221.83333333333334</c:v>
                </c:pt>
                <c:pt idx="81">
                  <c:v>221.83333333333334</c:v>
                </c:pt>
                <c:pt idx="82">
                  <c:v>221.83333333333334</c:v>
                </c:pt>
                <c:pt idx="83">
                  <c:v>221.83333333333334</c:v>
                </c:pt>
                <c:pt idx="84">
                  <c:v>335</c:v>
                </c:pt>
                <c:pt idx="85">
                  <c:v>335</c:v>
                </c:pt>
                <c:pt idx="86">
                  <c:v>335</c:v>
                </c:pt>
                <c:pt idx="87">
                  <c:v>335</c:v>
                </c:pt>
                <c:pt idx="88">
                  <c:v>335</c:v>
                </c:pt>
                <c:pt idx="89">
                  <c:v>335</c:v>
                </c:pt>
                <c:pt idx="90">
                  <c:v>335</c:v>
                </c:pt>
                <c:pt idx="91">
                  <c:v>335</c:v>
                </c:pt>
                <c:pt idx="92">
                  <c:v>335</c:v>
                </c:pt>
                <c:pt idx="93">
                  <c:v>335</c:v>
                </c:pt>
                <c:pt idx="94">
                  <c:v>335</c:v>
                </c:pt>
                <c:pt idx="95">
                  <c:v>335</c:v>
                </c:pt>
                <c:pt idx="96">
                  <c:v>224.75</c:v>
                </c:pt>
                <c:pt idx="97">
                  <c:v>224.75</c:v>
                </c:pt>
                <c:pt idx="98">
                  <c:v>224.75</c:v>
                </c:pt>
                <c:pt idx="99">
                  <c:v>224.75</c:v>
                </c:pt>
                <c:pt idx="100">
                  <c:v>224.75</c:v>
                </c:pt>
                <c:pt idx="101">
                  <c:v>224.75</c:v>
                </c:pt>
                <c:pt idx="102">
                  <c:v>224.75</c:v>
                </c:pt>
                <c:pt idx="103">
                  <c:v>224.75</c:v>
                </c:pt>
                <c:pt idx="104">
                  <c:v>224.75</c:v>
                </c:pt>
                <c:pt idx="105">
                  <c:v>224.75</c:v>
                </c:pt>
                <c:pt idx="106">
                  <c:v>224.75</c:v>
                </c:pt>
                <c:pt idx="107">
                  <c:v>224.75</c:v>
                </c:pt>
                <c:pt idx="108">
                  <c:v>295.41666666666669</c:v>
                </c:pt>
                <c:pt idx="109">
                  <c:v>295.41666666666669</c:v>
                </c:pt>
                <c:pt idx="110">
                  <c:v>295.41666666666669</c:v>
                </c:pt>
                <c:pt idx="111">
                  <c:v>295.41666666666669</c:v>
                </c:pt>
                <c:pt idx="112">
                  <c:v>295.41666666666669</c:v>
                </c:pt>
                <c:pt idx="113">
                  <c:v>295.41666666666669</c:v>
                </c:pt>
                <c:pt idx="114">
                  <c:v>295.41666666666669</c:v>
                </c:pt>
                <c:pt idx="115">
                  <c:v>295.41666666666669</c:v>
                </c:pt>
                <c:pt idx="116">
                  <c:v>295.41666666666669</c:v>
                </c:pt>
                <c:pt idx="117">
                  <c:v>295.41666666666669</c:v>
                </c:pt>
                <c:pt idx="118">
                  <c:v>295.41666666666669</c:v>
                </c:pt>
                <c:pt idx="119">
                  <c:v>295.41666666666669</c:v>
                </c:pt>
                <c:pt idx="120">
                  <c:v>262.5</c:v>
                </c:pt>
                <c:pt idx="121">
                  <c:v>262.5</c:v>
                </c:pt>
                <c:pt idx="122">
                  <c:v>262.5</c:v>
                </c:pt>
                <c:pt idx="123">
                  <c:v>262.5</c:v>
                </c:pt>
                <c:pt idx="124">
                  <c:v>262.5</c:v>
                </c:pt>
                <c:pt idx="125">
                  <c:v>262.5</c:v>
                </c:pt>
                <c:pt idx="126">
                  <c:v>262.5</c:v>
                </c:pt>
                <c:pt idx="127">
                  <c:v>262.5</c:v>
                </c:pt>
                <c:pt idx="128">
                  <c:v>262.5</c:v>
                </c:pt>
                <c:pt idx="129">
                  <c:v>262.5</c:v>
                </c:pt>
                <c:pt idx="130">
                  <c:v>262.5</c:v>
                </c:pt>
                <c:pt idx="131">
                  <c:v>262.5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31872"/>
        <c:axId val="385808000"/>
      </c:lineChart>
      <c:catAx>
        <c:axId val="38683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385808000"/>
        <c:crosses val="autoZero"/>
        <c:auto val="1"/>
        <c:lblAlgn val="ctr"/>
        <c:lblOffset val="100"/>
        <c:noMultiLvlLbl val="0"/>
      </c:catAx>
      <c:valAx>
        <c:axId val="3858080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386831872"/>
        <c:crosses val="autoZero"/>
        <c:crossBetween val="between"/>
      </c:valAx>
    </c:plotArea>
    <c:legend>
      <c:legendPos val="r"/>
      <c:legendEntry>
        <c:idx val="0"/>
        <c:delete val="1"/>
      </c:legendEntry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l-GR"/>
              <a:t>Μέσος όρος πωλήσεων ανα μήνα για τα</a:t>
            </a:r>
            <a:r>
              <a:rPr lang="el-GR" baseline="0"/>
              <a:t> έτη 2012-2022</a:t>
            </a:r>
          </a:p>
          <a:p>
            <a:pPr>
              <a:defRPr/>
            </a:pPr>
            <a:endParaRPr lang="el-GR"/>
          </a:p>
          <a:p>
            <a:pPr>
              <a:defRPr/>
            </a:pPr>
            <a:endParaRPr lang="en-GB"/>
          </a:p>
        </c:rich>
      </c:tx>
      <c:layout>
        <c:manualLayout>
          <c:xMode val="edge"/>
          <c:yMode val="edge"/>
          <c:x val="0.26615888366579749"/>
          <c:y val="1.268562718440007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8160400172207831E-2"/>
          <c:y val="0.12925179966599545"/>
          <c:w val="0.91042202188360832"/>
          <c:h val="0.80161283592859467"/>
        </c:manualLayout>
      </c:layout>
      <c:lineChart>
        <c:grouping val="standard"/>
        <c:varyColors val="0"/>
        <c:ser>
          <c:idx val="0"/>
          <c:order val="0"/>
          <c:cat>
            <c:strRef>
              <c:f>'Table 1'!$B$1:$M$1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Octomber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'Table 1'!$B$14:$M$14</c:f>
              <c:numCache>
                <c:formatCode>0.00</c:formatCode>
                <c:ptCount val="12"/>
                <c:pt idx="0">
                  <c:v>264.27272727272725</c:v>
                </c:pt>
                <c:pt idx="1">
                  <c:v>179.90909090909091</c:v>
                </c:pt>
                <c:pt idx="2">
                  <c:v>216.90909090909091</c:v>
                </c:pt>
                <c:pt idx="3">
                  <c:v>299.63636363636363</c:v>
                </c:pt>
                <c:pt idx="4">
                  <c:v>305.72727272727275</c:v>
                </c:pt>
                <c:pt idx="5">
                  <c:v>289.09090909090907</c:v>
                </c:pt>
                <c:pt idx="6">
                  <c:v>261.18181818181819</c:v>
                </c:pt>
                <c:pt idx="7">
                  <c:v>236.36363636363637</c:v>
                </c:pt>
                <c:pt idx="8">
                  <c:v>162.72727272727272</c:v>
                </c:pt>
                <c:pt idx="9">
                  <c:v>192.09090909090909</c:v>
                </c:pt>
                <c:pt idx="10">
                  <c:v>208.36363636363637</c:v>
                </c:pt>
                <c:pt idx="11">
                  <c:v>161.27272727272728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32384"/>
        <c:axId val="386908736"/>
      </c:lineChart>
      <c:catAx>
        <c:axId val="386832384"/>
        <c:scaling>
          <c:orientation val="minMax"/>
        </c:scaling>
        <c:delete val="0"/>
        <c:axPos val="b"/>
        <c:majorTickMark val="none"/>
        <c:minorTickMark val="none"/>
        <c:tickLblPos val="nextTo"/>
        <c:crossAx val="386908736"/>
        <c:crosses val="autoZero"/>
        <c:auto val="1"/>
        <c:lblAlgn val="ctr"/>
        <c:lblOffset val="100"/>
        <c:noMultiLvlLbl val="0"/>
      </c:catAx>
      <c:valAx>
        <c:axId val="386908736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3868323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l-GR"/>
              <a:t>Πωλήσεις</a:t>
            </a:r>
            <a:r>
              <a:rPr lang="el-GR" baseline="0"/>
              <a:t> σε σχέση με τον γενικό μέσο όρο</a:t>
            </a:r>
            <a:endParaRPr lang="el-GR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Sheet1!$A$2:$A$133</c:f>
              <c:numCache>
                <c:formatCode>General</c:formatCode>
                <c:ptCount val="132"/>
                <c:pt idx="11">
                  <c:v>2012</c:v>
                </c:pt>
                <c:pt idx="23">
                  <c:v>2013</c:v>
                </c:pt>
                <c:pt idx="35">
                  <c:v>2014</c:v>
                </c:pt>
                <c:pt idx="47">
                  <c:v>2015</c:v>
                </c:pt>
                <c:pt idx="59">
                  <c:v>2016</c:v>
                </c:pt>
                <c:pt idx="71">
                  <c:v>2017</c:v>
                </c:pt>
                <c:pt idx="83">
                  <c:v>2018</c:v>
                </c:pt>
                <c:pt idx="95">
                  <c:v>2019</c:v>
                </c:pt>
                <c:pt idx="107">
                  <c:v>2020</c:v>
                </c:pt>
                <c:pt idx="119">
                  <c:v>2021</c:v>
                </c:pt>
                <c:pt idx="131">
                  <c:v>2022</c:v>
                </c:pt>
              </c:numCache>
            </c:numRef>
          </c:cat>
          <c:val>
            <c:numRef>
              <c:f>Sheet1!$C$2:$C$133</c:f>
              <c:numCache>
                <c:formatCode>General</c:formatCode>
                <c:ptCount val="132"/>
                <c:pt idx="0">
                  <c:v>233</c:v>
                </c:pt>
                <c:pt idx="1">
                  <c:v>106</c:v>
                </c:pt>
                <c:pt idx="2">
                  <c:v>177</c:v>
                </c:pt>
                <c:pt idx="3">
                  <c:v>175</c:v>
                </c:pt>
                <c:pt idx="4">
                  <c:v>178</c:v>
                </c:pt>
                <c:pt idx="5">
                  <c:v>170</c:v>
                </c:pt>
                <c:pt idx="6">
                  <c:v>199</c:v>
                </c:pt>
                <c:pt idx="7">
                  <c:v>117</c:v>
                </c:pt>
                <c:pt idx="8">
                  <c:v>122</c:v>
                </c:pt>
                <c:pt idx="9">
                  <c:v>136</c:v>
                </c:pt>
                <c:pt idx="10">
                  <c:v>130</c:v>
                </c:pt>
                <c:pt idx="11">
                  <c:v>68</c:v>
                </c:pt>
                <c:pt idx="12">
                  <c:v>179</c:v>
                </c:pt>
                <c:pt idx="13">
                  <c:v>104</c:v>
                </c:pt>
                <c:pt idx="14">
                  <c:v>133</c:v>
                </c:pt>
                <c:pt idx="15">
                  <c:v>163</c:v>
                </c:pt>
                <c:pt idx="16">
                  <c:v>175</c:v>
                </c:pt>
                <c:pt idx="17">
                  <c:v>163</c:v>
                </c:pt>
                <c:pt idx="18">
                  <c:v>156</c:v>
                </c:pt>
                <c:pt idx="19">
                  <c:v>123</c:v>
                </c:pt>
                <c:pt idx="20">
                  <c:v>145</c:v>
                </c:pt>
                <c:pt idx="21">
                  <c:v>197</c:v>
                </c:pt>
                <c:pt idx="22">
                  <c:v>187</c:v>
                </c:pt>
                <c:pt idx="23">
                  <c:v>139</c:v>
                </c:pt>
                <c:pt idx="24">
                  <c:v>293</c:v>
                </c:pt>
                <c:pt idx="25">
                  <c:v>157</c:v>
                </c:pt>
                <c:pt idx="26">
                  <c:v>168</c:v>
                </c:pt>
                <c:pt idx="27">
                  <c:v>174</c:v>
                </c:pt>
                <c:pt idx="28">
                  <c:v>342</c:v>
                </c:pt>
                <c:pt idx="29">
                  <c:v>227</c:v>
                </c:pt>
                <c:pt idx="30">
                  <c:v>207</c:v>
                </c:pt>
                <c:pt idx="31">
                  <c:v>150</c:v>
                </c:pt>
                <c:pt idx="32">
                  <c:v>171</c:v>
                </c:pt>
                <c:pt idx="33">
                  <c:v>217</c:v>
                </c:pt>
                <c:pt idx="34">
                  <c:v>149</c:v>
                </c:pt>
                <c:pt idx="35">
                  <c:v>178</c:v>
                </c:pt>
                <c:pt idx="36">
                  <c:v>223</c:v>
                </c:pt>
                <c:pt idx="37">
                  <c:v>159</c:v>
                </c:pt>
                <c:pt idx="38">
                  <c:v>310</c:v>
                </c:pt>
                <c:pt idx="39">
                  <c:v>370</c:v>
                </c:pt>
                <c:pt idx="40">
                  <c:v>282</c:v>
                </c:pt>
                <c:pt idx="41">
                  <c:v>225</c:v>
                </c:pt>
                <c:pt idx="42">
                  <c:v>216</c:v>
                </c:pt>
                <c:pt idx="43">
                  <c:v>130</c:v>
                </c:pt>
                <c:pt idx="44">
                  <c:v>206</c:v>
                </c:pt>
                <c:pt idx="45">
                  <c:v>147</c:v>
                </c:pt>
                <c:pt idx="46">
                  <c:v>197</c:v>
                </c:pt>
                <c:pt idx="47">
                  <c:v>203</c:v>
                </c:pt>
                <c:pt idx="48">
                  <c:v>160</c:v>
                </c:pt>
                <c:pt idx="49">
                  <c:v>181</c:v>
                </c:pt>
                <c:pt idx="50">
                  <c:v>225</c:v>
                </c:pt>
                <c:pt idx="51">
                  <c:v>417</c:v>
                </c:pt>
                <c:pt idx="52">
                  <c:v>442</c:v>
                </c:pt>
                <c:pt idx="53">
                  <c:v>245</c:v>
                </c:pt>
                <c:pt idx="54">
                  <c:v>263</c:v>
                </c:pt>
                <c:pt idx="55">
                  <c:v>118</c:v>
                </c:pt>
                <c:pt idx="56">
                  <c:v>144</c:v>
                </c:pt>
                <c:pt idx="57">
                  <c:v>144</c:v>
                </c:pt>
                <c:pt idx="58">
                  <c:v>188</c:v>
                </c:pt>
                <c:pt idx="59">
                  <c:v>91</c:v>
                </c:pt>
                <c:pt idx="60">
                  <c:v>310</c:v>
                </c:pt>
                <c:pt idx="61">
                  <c:v>226</c:v>
                </c:pt>
                <c:pt idx="62">
                  <c:v>254</c:v>
                </c:pt>
                <c:pt idx="63">
                  <c:v>385</c:v>
                </c:pt>
                <c:pt idx="64">
                  <c:v>318</c:v>
                </c:pt>
                <c:pt idx="65">
                  <c:v>318</c:v>
                </c:pt>
                <c:pt idx="66">
                  <c:v>181</c:v>
                </c:pt>
                <c:pt idx="67">
                  <c:v>173</c:v>
                </c:pt>
                <c:pt idx="68">
                  <c:v>248</c:v>
                </c:pt>
                <c:pt idx="69">
                  <c:v>262</c:v>
                </c:pt>
                <c:pt idx="70">
                  <c:v>209</c:v>
                </c:pt>
                <c:pt idx="71">
                  <c:v>201</c:v>
                </c:pt>
                <c:pt idx="72">
                  <c:v>313</c:v>
                </c:pt>
                <c:pt idx="73">
                  <c:v>144</c:v>
                </c:pt>
                <c:pt idx="74">
                  <c:v>206</c:v>
                </c:pt>
                <c:pt idx="75">
                  <c:v>300</c:v>
                </c:pt>
                <c:pt idx="76">
                  <c:v>276</c:v>
                </c:pt>
                <c:pt idx="77">
                  <c:v>296</c:v>
                </c:pt>
                <c:pt idx="78">
                  <c:v>281</c:v>
                </c:pt>
                <c:pt idx="79">
                  <c:v>335</c:v>
                </c:pt>
                <c:pt idx="80">
                  <c:v>44</c:v>
                </c:pt>
                <c:pt idx="81">
                  <c:v>195</c:v>
                </c:pt>
                <c:pt idx="82">
                  <c:v>141</c:v>
                </c:pt>
                <c:pt idx="83">
                  <c:v>131</c:v>
                </c:pt>
                <c:pt idx="84">
                  <c:v>370</c:v>
                </c:pt>
                <c:pt idx="85">
                  <c:v>240</c:v>
                </c:pt>
                <c:pt idx="86">
                  <c:v>219</c:v>
                </c:pt>
                <c:pt idx="87">
                  <c:v>425</c:v>
                </c:pt>
                <c:pt idx="88">
                  <c:v>451</c:v>
                </c:pt>
                <c:pt idx="89">
                  <c:v>386</c:v>
                </c:pt>
                <c:pt idx="90">
                  <c:v>545</c:v>
                </c:pt>
                <c:pt idx="91">
                  <c:v>828</c:v>
                </c:pt>
                <c:pt idx="92">
                  <c:v>65</c:v>
                </c:pt>
                <c:pt idx="93">
                  <c:v>121</c:v>
                </c:pt>
                <c:pt idx="94">
                  <c:v>254</c:v>
                </c:pt>
                <c:pt idx="95">
                  <c:v>116</c:v>
                </c:pt>
                <c:pt idx="96">
                  <c:v>358</c:v>
                </c:pt>
                <c:pt idx="97">
                  <c:v>190</c:v>
                </c:pt>
                <c:pt idx="98">
                  <c:v>108</c:v>
                </c:pt>
                <c:pt idx="99">
                  <c:v>175</c:v>
                </c:pt>
                <c:pt idx="100">
                  <c:v>214</c:v>
                </c:pt>
                <c:pt idx="101">
                  <c:v>298</c:v>
                </c:pt>
                <c:pt idx="102">
                  <c:v>326</c:v>
                </c:pt>
                <c:pt idx="103">
                  <c:v>216</c:v>
                </c:pt>
                <c:pt idx="104">
                  <c:v>165</c:v>
                </c:pt>
                <c:pt idx="105">
                  <c:v>229</c:v>
                </c:pt>
                <c:pt idx="106">
                  <c:v>263</c:v>
                </c:pt>
                <c:pt idx="107">
                  <c:v>155</c:v>
                </c:pt>
                <c:pt idx="108">
                  <c:v>235</c:v>
                </c:pt>
                <c:pt idx="109">
                  <c:v>242</c:v>
                </c:pt>
                <c:pt idx="110">
                  <c:v>302</c:v>
                </c:pt>
                <c:pt idx="111">
                  <c:v>369</c:v>
                </c:pt>
                <c:pt idx="112">
                  <c:v>326</c:v>
                </c:pt>
                <c:pt idx="113">
                  <c:v>490</c:v>
                </c:pt>
                <c:pt idx="114">
                  <c:v>228</c:v>
                </c:pt>
                <c:pt idx="115">
                  <c:v>257</c:v>
                </c:pt>
                <c:pt idx="116">
                  <c:v>249</c:v>
                </c:pt>
                <c:pt idx="117">
                  <c:v>302</c:v>
                </c:pt>
                <c:pt idx="118">
                  <c:v>302</c:v>
                </c:pt>
                <c:pt idx="119">
                  <c:v>243</c:v>
                </c:pt>
                <c:pt idx="120">
                  <c:v>233</c:v>
                </c:pt>
                <c:pt idx="121">
                  <c:v>230</c:v>
                </c:pt>
                <c:pt idx="122">
                  <c:v>284</c:v>
                </c:pt>
                <c:pt idx="123">
                  <c:v>343</c:v>
                </c:pt>
                <c:pt idx="124">
                  <c:v>359</c:v>
                </c:pt>
                <c:pt idx="125">
                  <c:v>362</c:v>
                </c:pt>
                <c:pt idx="126">
                  <c:v>271</c:v>
                </c:pt>
                <c:pt idx="127">
                  <c:v>153</c:v>
                </c:pt>
                <c:pt idx="128">
                  <c:v>231</c:v>
                </c:pt>
                <c:pt idx="129">
                  <c:v>163</c:v>
                </c:pt>
                <c:pt idx="130">
                  <c:v>272</c:v>
                </c:pt>
                <c:pt idx="131">
                  <c:v>249</c:v>
                </c:pt>
              </c:numCache>
            </c:numRef>
          </c:val>
          <c:smooth val="0"/>
        </c:ser>
        <c:ser>
          <c:idx val="1"/>
          <c:order val="1"/>
          <c:tx>
            <c:v>Γενικός μέσος όρος</c:v>
          </c:tx>
          <c:marker>
            <c:symbol val="none"/>
          </c:marker>
          <c:cat>
            <c:numRef>
              <c:f>Sheet1!$A$2:$A$133</c:f>
              <c:numCache>
                <c:formatCode>General</c:formatCode>
                <c:ptCount val="132"/>
                <c:pt idx="11">
                  <c:v>2012</c:v>
                </c:pt>
                <c:pt idx="23">
                  <c:v>2013</c:v>
                </c:pt>
                <c:pt idx="35">
                  <c:v>2014</c:v>
                </c:pt>
                <c:pt idx="47">
                  <c:v>2015</c:v>
                </c:pt>
                <c:pt idx="59">
                  <c:v>2016</c:v>
                </c:pt>
                <c:pt idx="71">
                  <c:v>2017</c:v>
                </c:pt>
                <c:pt idx="83">
                  <c:v>2018</c:v>
                </c:pt>
                <c:pt idx="95">
                  <c:v>2019</c:v>
                </c:pt>
                <c:pt idx="107">
                  <c:v>2020</c:v>
                </c:pt>
                <c:pt idx="119">
                  <c:v>2021</c:v>
                </c:pt>
                <c:pt idx="131">
                  <c:v>2022</c:v>
                </c:pt>
              </c:numCache>
            </c:numRef>
          </c:cat>
          <c:val>
            <c:numRef>
              <c:f>Sheet1!$D$2:$D$133</c:f>
              <c:numCache>
                <c:formatCode>General</c:formatCode>
                <c:ptCount val="132"/>
                <c:pt idx="0">
                  <c:v>231.46212121212122</c:v>
                </c:pt>
                <c:pt idx="1">
                  <c:v>231.46212121212122</c:v>
                </c:pt>
                <c:pt idx="2">
                  <c:v>231.46212121212122</c:v>
                </c:pt>
                <c:pt idx="3">
                  <c:v>231.46212121212122</c:v>
                </c:pt>
                <c:pt idx="4">
                  <c:v>231.46212121212122</c:v>
                </c:pt>
                <c:pt idx="5">
                  <c:v>231.46212121212122</c:v>
                </c:pt>
                <c:pt idx="6">
                  <c:v>231.46212121212122</c:v>
                </c:pt>
                <c:pt idx="7">
                  <c:v>231.46212121212122</c:v>
                </c:pt>
                <c:pt idx="8">
                  <c:v>231.46212121212122</c:v>
                </c:pt>
                <c:pt idx="9">
                  <c:v>231.46212121212122</c:v>
                </c:pt>
                <c:pt idx="10">
                  <c:v>231.46212121212122</c:v>
                </c:pt>
                <c:pt idx="11">
                  <c:v>231.46212121212122</c:v>
                </c:pt>
                <c:pt idx="12">
                  <c:v>231.46212121212122</c:v>
                </c:pt>
                <c:pt idx="13">
                  <c:v>231.46212121212122</c:v>
                </c:pt>
                <c:pt idx="14">
                  <c:v>231.46212121212122</c:v>
                </c:pt>
                <c:pt idx="15">
                  <c:v>231.46212121212122</c:v>
                </c:pt>
                <c:pt idx="16">
                  <c:v>231.46212121212122</c:v>
                </c:pt>
                <c:pt idx="17">
                  <c:v>231.46212121212122</c:v>
                </c:pt>
                <c:pt idx="18">
                  <c:v>231.46212121212122</c:v>
                </c:pt>
                <c:pt idx="19">
                  <c:v>231.46212121212122</c:v>
                </c:pt>
                <c:pt idx="20">
                  <c:v>231.46212121212122</c:v>
                </c:pt>
                <c:pt idx="21">
                  <c:v>231.46212121212122</c:v>
                </c:pt>
                <c:pt idx="22">
                  <c:v>231.46212121212122</c:v>
                </c:pt>
                <c:pt idx="23">
                  <c:v>231.46212121212122</c:v>
                </c:pt>
                <c:pt idx="24">
                  <c:v>231.46212121212122</c:v>
                </c:pt>
                <c:pt idx="25">
                  <c:v>231.46212121212122</c:v>
                </c:pt>
                <c:pt idx="26">
                  <c:v>231.46212121212122</c:v>
                </c:pt>
                <c:pt idx="27">
                  <c:v>231.46212121212122</c:v>
                </c:pt>
                <c:pt idx="28">
                  <c:v>231.46212121212122</c:v>
                </c:pt>
                <c:pt idx="29">
                  <c:v>231.46212121212122</c:v>
                </c:pt>
                <c:pt idx="30">
                  <c:v>231.46212121212122</c:v>
                </c:pt>
                <c:pt idx="31">
                  <c:v>231.46212121212122</c:v>
                </c:pt>
                <c:pt idx="32">
                  <c:v>231.46212121212122</c:v>
                </c:pt>
                <c:pt idx="33">
                  <c:v>231.46212121212122</c:v>
                </c:pt>
                <c:pt idx="34">
                  <c:v>231.46212121212122</c:v>
                </c:pt>
                <c:pt idx="35">
                  <c:v>231.46212121212122</c:v>
                </c:pt>
                <c:pt idx="36">
                  <c:v>231.46212121212122</c:v>
                </c:pt>
                <c:pt idx="37">
                  <c:v>231.46212121212122</c:v>
                </c:pt>
                <c:pt idx="38">
                  <c:v>231.46212121212122</c:v>
                </c:pt>
                <c:pt idx="39">
                  <c:v>231.46212121212122</c:v>
                </c:pt>
                <c:pt idx="40">
                  <c:v>231.46212121212122</c:v>
                </c:pt>
                <c:pt idx="41">
                  <c:v>231.46212121212122</c:v>
                </c:pt>
                <c:pt idx="42">
                  <c:v>231.46212121212122</c:v>
                </c:pt>
                <c:pt idx="43">
                  <c:v>231.46212121212122</c:v>
                </c:pt>
                <c:pt idx="44">
                  <c:v>231.46212121212122</c:v>
                </c:pt>
                <c:pt idx="45">
                  <c:v>231.46212121212122</c:v>
                </c:pt>
                <c:pt idx="46">
                  <c:v>231.46212121212122</c:v>
                </c:pt>
                <c:pt idx="47">
                  <c:v>231.46212121212122</c:v>
                </c:pt>
                <c:pt idx="48">
                  <c:v>231.46212121212122</c:v>
                </c:pt>
                <c:pt idx="49">
                  <c:v>231.46212121212122</c:v>
                </c:pt>
                <c:pt idx="50">
                  <c:v>231.46212121212122</c:v>
                </c:pt>
                <c:pt idx="51">
                  <c:v>231.46212121212122</c:v>
                </c:pt>
                <c:pt idx="52">
                  <c:v>231.46212121212122</c:v>
                </c:pt>
                <c:pt idx="53">
                  <c:v>231.46212121212122</c:v>
                </c:pt>
                <c:pt idx="54">
                  <c:v>231.46212121212122</c:v>
                </c:pt>
                <c:pt idx="55">
                  <c:v>231.46212121212122</c:v>
                </c:pt>
                <c:pt idx="56">
                  <c:v>231.46212121212122</c:v>
                </c:pt>
                <c:pt idx="57">
                  <c:v>231.46212121212122</c:v>
                </c:pt>
                <c:pt idx="58">
                  <c:v>231.46212121212122</c:v>
                </c:pt>
                <c:pt idx="59">
                  <c:v>231.46212121212122</c:v>
                </c:pt>
                <c:pt idx="60">
                  <c:v>231.46212121212122</c:v>
                </c:pt>
                <c:pt idx="61">
                  <c:v>231.46212121212122</c:v>
                </c:pt>
                <c:pt idx="62">
                  <c:v>231.46212121212122</c:v>
                </c:pt>
                <c:pt idx="63">
                  <c:v>231.46212121212122</c:v>
                </c:pt>
                <c:pt idx="64">
                  <c:v>231.46212121212122</c:v>
                </c:pt>
                <c:pt idx="65">
                  <c:v>231.46212121212122</c:v>
                </c:pt>
                <c:pt idx="66">
                  <c:v>231.46212121212122</c:v>
                </c:pt>
                <c:pt idx="67">
                  <c:v>231.46212121212122</c:v>
                </c:pt>
                <c:pt idx="68">
                  <c:v>231.46212121212122</c:v>
                </c:pt>
                <c:pt idx="69">
                  <c:v>231.46212121212122</c:v>
                </c:pt>
                <c:pt idx="70">
                  <c:v>231.46212121212122</c:v>
                </c:pt>
                <c:pt idx="71">
                  <c:v>231.46212121212122</c:v>
                </c:pt>
                <c:pt idx="72">
                  <c:v>231.46212121212122</c:v>
                </c:pt>
                <c:pt idx="73">
                  <c:v>231.46212121212122</c:v>
                </c:pt>
                <c:pt idx="74">
                  <c:v>231.46212121212122</c:v>
                </c:pt>
                <c:pt idx="75">
                  <c:v>231.46212121212122</c:v>
                </c:pt>
                <c:pt idx="76">
                  <c:v>231.46212121212122</c:v>
                </c:pt>
                <c:pt idx="77">
                  <c:v>231.46212121212122</c:v>
                </c:pt>
                <c:pt idx="78">
                  <c:v>231.46212121212122</c:v>
                </c:pt>
                <c:pt idx="79">
                  <c:v>231.46212121212122</c:v>
                </c:pt>
                <c:pt idx="80">
                  <c:v>231.46212121212122</c:v>
                </c:pt>
                <c:pt idx="81">
                  <c:v>231.46212121212122</c:v>
                </c:pt>
                <c:pt idx="82">
                  <c:v>231.46212121212122</c:v>
                </c:pt>
                <c:pt idx="83">
                  <c:v>231.46212121212122</c:v>
                </c:pt>
                <c:pt idx="84">
                  <c:v>231.46212121212122</c:v>
                </c:pt>
                <c:pt idx="85">
                  <c:v>231.46212121212122</c:v>
                </c:pt>
                <c:pt idx="86">
                  <c:v>231.46212121212122</c:v>
                </c:pt>
                <c:pt idx="87">
                  <c:v>231.46212121212122</c:v>
                </c:pt>
                <c:pt idx="88">
                  <c:v>231.46212121212122</c:v>
                </c:pt>
                <c:pt idx="89">
                  <c:v>231.46212121212122</c:v>
                </c:pt>
                <c:pt idx="90">
                  <c:v>231.46212121212122</c:v>
                </c:pt>
                <c:pt idx="91">
                  <c:v>231.46212121212122</c:v>
                </c:pt>
                <c:pt idx="92">
                  <c:v>231.46212121212122</c:v>
                </c:pt>
                <c:pt idx="93">
                  <c:v>231.46212121212122</c:v>
                </c:pt>
                <c:pt idx="94">
                  <c:v>231.46212121212122</c:v>
                </c:pt>
                <c:pt idx="95">
                  <c:v>231.46212121212122</c:v>
                </c:pt>
                <c:pt idx="96">
                  <c:v>231.46212121212122</c:v>
                </c:pt>
                <c:pt idx="97">
                  <c:v>231.46212121212122</c:v>
                </c:pt>
                <c:pt idx="98">
                  <c:v>231.46212121212122</c:v>
                </c:pt>
                <c:pt idx="99">
                  <c:v>231.46212121212122</c:v>
                </c:pt>
                <c:pt idx="100">
                  <c:v>231.46212121212122</c:v>
                </c:pt>
                <c:pt idx="101">
                  <c:v>231.46212121212122</c:v>
                </c:pt>
                <c:pt idx="102">
                  <c:v>231.46212121212122</c:v>
                </c:pt>
                <c:pt idx="103">
                  <c:v>231.46212121212122</c:v>
                </c:pt>
                <c:pt idx="104">
                  <c:v>231.46212121212122</c:v>
                </c:pt>
                <c:pt idx="105">
                  <c:v>231.46212121212122</c:v>
                </c:pt>
                <c:pt idx="106">
                  <c:v>231.46212121212122</c:v>
                </c:pt>
                <c:pt idx="107">
                  <c:v>231.46212121212122</c:v>
                </c:pt>
                <c:pt idx="108">
                  <c:v>231.46212121212122</c:v>
                </c:pt>
                <c:pt idx="109">
                  <c:v>231.46212121212122</c:v>
                </c:pt>
                <c:pt idx="110">
                  <c:v>231.46212121212122</c:v>
                </c:pt>
                <c:pt idx="111">
                  <c:v>231.46212121212122</c:v>
                </c:pt>
                <c:pt idx="112">
                  <c:v>231.46212121212122</c:v>
                </c:pt>
                <c:pt idx="113">
                  <c:v>231.46212121212122</c:v>
                </c:pt>
                <c:pt idx="114">
                  <c:v>231.46212121212122</c:v>
                </c:pt>
                <c:pt idx="115">
                  <c:v>231.46212121212122</c:v>
                </c:pt>
                <c:pt idx="116">
                  <c:v>231.46212121212122</c:v>
                </c:pt>
                <c:pt idx="117">
                  <c:v>231.46212121212122</c:v>
                </c:pt>
                <c:pt idx="118">
                  <c:v>231.46212121212122</c:v>
                </c:pt>
                <c:pt idx="119">
                  <c:v>231.46212121212122</c:v>
                </c:pt>
                <c:pt idx="120">
                  <c:v>231.46212121212122</c:v>
                </c:pt>
                <c:pt idx="121">
                  <c:v>231.46212121212122</c:v>
                </c:pt>
                <c:pt idx="122">
                  <c:v>231.46212121212122</c:v>
                </c:pt>
                <c:pt idx="123">
                  <c:v>231.46212121212122</c:v>
                </c:pt>
                <c:pt idx="124">
                  <c:v>231.46212121212122</c:v>
                </c:pt>
                <c:pt idx="125">
                  <c:v>231.46212121212122</c:v>
                </c:pt>
                <c:pt idx="126">
                  <c:v>231.46212121212122</c:v>
                </c:pt>
                <c:pt idx="127">
                  <c:v>231.46212121212122</c:v>
                </c:pt>
                <c:pt idx="128">
                  <c:v>231.46212121212122</c:v>
                </c:pt>
                <c:pt idx="129">
                  <c:v>231.46212121212122</c:v>
                </c:pt>
                <c:pt idx="130">
                  <c:v>231.46212121212122</c:v>
                </c:pt>
                <c:pt idx="131">
                  <c:v>231.46212121212122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32896"/>
        <c:axId val="386912192"/>
      </c:lineChart>
      <c:catAx>
        <c:axId val="38683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386912192"/>
        <c:crosses val="autoZero"/>
        <c:auto val="1"/>
        <c:lblAlgn val="ctr"/>
        <c:lblOffset val="100"/>
        <c:noMultiLvlLbl val="0"/>
      </c:catAx>
      <c:valAx>
        <c:axId val="38691219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386832896"/>
        <c:crosses val="autoZero"/>
        <c:crossBetween val="between"/>
      </c:valAx>
    </c:plotArea>
    <c:legend>
      <c:legendPos val="b"/>
      <c:legendEntry>
        <c:idx val="0"/>
        <c:delete val="1"/>
      </c:legendEntry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l-GR"/>
              <a:t>Πίνακας</a:t>
            </a:r>
            <a:r>
              <a:rPr lang="el-GR" baseline="0"/>
              <a:t> αυτοσυσχετίσεων(</a:t>
            </a:r>
            <a:r>
              <a:rPr lang="en-GB" baseline="0"/>
              <a:t>ACF)</a:t>
            </a:r>
          </a:p>
        </c:rich>
      </c:tx>
      <c:layout>
        <c:manualLayout>
          <c:xMode val="edge"/>
          <c:yMode val="edge"/>
          <c:x val="0.28631959439973048"/>
          <c:y val="7.3989874259028365E-4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4597513953415087E-2"/>
          <c:y val="0.13809081035638163"/>
          <c:w val="0.90395400499636325"/>
          <c:h val="0.71477233588585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Sheet5!$C$1</c:f>
              <c:strCache>
                <c:ptCount val="1"/>
                <c:pt idx="0">
                  <c:v>Lower confidence limit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trendline>
            <c:trendlineType val="linear"/>
            <c:dispRSqr val="0"/>
            <c:dispEq val="0"/>
          </c:trendline>
          <c:trendline>
            <c:name>Upper-Lower confidence limit</c:name>
            <c:spPr>
              <a:ln w="25400">
                <a:prstDash val="dash"/>
              </a:ln>
            </c:spPr>
            <c:trendlineType val="linear"/>
            <c:dispRSqr val="0"/>
            <c:dispEq val="0"/>
          </c:trendline>
          <c:trendline>
            <c:spPr>
              <a:ln w="25400">
                <a:solidFill>
                  <a:schemeClr val="accent2"/>
                </a:solidFill>
                <a:prstDash val="dash"/>
              </a:ln>
            </c:spPr>
            <c:trendlineType val="linear"/>
            <c:dispRSqr val="0"/>
            <c:dispEq val="0"/>
          </c:trendline>
          <c:trendline>
            <c:name>Upper-Lower confidence level</c:name>
            <c:spPr>
              <a:ln w="25400">
                <a:solidFill>
                  <a:schemeClr val="accent2"/>
                </a:solidFill>
                <a:prstDash val="dash"/>
              </a:ln>
            </c:spPr>
            <c:trendlineType val="linear"/>
            <c:dispRSqr val="0"/>
            <c:dispEq val="0"/>
          </c:trendline>
          <c:trendline>
            <c:spPr>
              <a:ln w="25400">
                <a:solidFill>
                  <a:schemeClr val="accent2"/>
                </a:solidFill>
                <a:prstDash val="dash"/>
              </a:ln>
            </c:spPr>
            <c:trendlineType val="linear"/>
            <c:dispRSqr val="0"/>
            <c:dispEq val="0"/>
          </c:trendline>
          <c:cat>
            <c:numRef>
              <c:f>Sheet5!$D$2:$D$16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Sheet5!$C$2:$C$16</c:f>
              <c:numCache>
                <c:formatCode>General</c:formatCode>
                <c:ptCount val="15"/>
                <c:pt idx="0">
                  <c:v>-0.17059296809316099</c:v>
                </c:pt>
                <c:pt idx="1">
                  <c:v>-0.17059296809316099</c:v>
                </c:pt>
                <c:pt idx="2">
                  <c:v>-0.17059296809316099</c:v>
                </c:pt>
                <c:pt idx="3">
                  <c:v>-0.17059296809316099</c:v>
                </c:pt>
                <c:pt idx="4">
                  <c:v>-0.17059296809316099</c:v>
                </c:pt>
                <c:pt idx="5">
                  <c:v>-0.17059296809316099</c:v>
                </c:pt>
                <c:pt idx="6">
                  <c:v>-0.17059296809316099</c:v>
                </c:pt>
                <c:pt idx="7">
                  <c:v>-0.17059296809316099</c:v>
                </c:pt>
                <c:pt idx="8">
                  <c:v>-0.17059296809316099</c:v>
                </c:pt>
                <c:pt idx="9">
                  <c:v>-0.17059296809316099</c:v>
                </c:pt>
                <c:pt idx="10">
                  <c:v>-0.17059296809316099</c:v>
                </c:pt>
                <c:pt idx="11">
                  <c:v>-0.17059296809316099</c:v>
                </c:pt>
                <c:pt idx="12">
                  <c:v>-0.17059296809316099</c:v>
                </c:pt>
                <c:pt idx="13">
                  <c:v>-0.17059296809316099</c:v>
                </c:pt>
                <c:pt idx="14">
                  <c:v>-0.17059296809316099</c:v>
                </c:pt>
              </c:numCache>
            </c:numRef>
          </c:val>
        </c:ser>
        <c:ser>
          <c:idx val="1"/>
          <c:order val="1"/>
          <c:tx>
            <c:strRef>
              <c:f>Sheet5!$A$1</c:f>
              <c:strCache>
                <c:ptCount val="1"/>
                <c:pt idx="0">
                  <c:v>ACF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dLbls>
            <c:dLbl>
              <c:idx val="3"/>
              <c:layout>
                <c:manualLayout>
                  <c:x val="0"/>
                  <c:y val="-4.75146158611666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0"/>
                  <c:y val="-5.03095932647646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>
                <c:manualLayout>
                  <c:x val="1.5389350569404842E-3"/>
                  <c:y val="-4.47196384575686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>
                <c:manualLayout>
                  <c:x val="1.5389350569405972E-3"/>
                  <c:y val="-2.0823682041609952E-3"/>
                </c:manualLayout>
              </c:layout>
              <c:tx>
                <c:rich>
                  <a:bodyPr/>
                  <a:lstStyle/>
                  <a:p>
                    <a:r>
                      <a:rPr lang="en-US" b="1"/>
                      <a:t>-</a:t>
                    </a:r>
                    <a:r>
                      <a:rPr lang="en-US" b="1" i="0"/>
                      <a:t>0,104513325</a:t>
                    </a:r>
                    <a:endParaRPr lang="en-US" i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>
                <c:manualLayout>
                  <c:x val="-1.1285393381070354E-16"/>
                  <c:y val="-3.63347062467744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layout>
                <c:manualLayout>
                  <c:x val="1.5389350569405972E-3"/>
                  <c:y val="1.95648418251862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 rot="-3600000" vert="horz"/>
              <a:lstStyle/>
              <a:p>
                <a:pPr>
                  <a:defRPr sz="8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Sheet5!$D$2:$D$16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Sheet5!$A$2:$A$16</c:f>
              <c:numCache>
                <c:formatCode>General</c:formatCode>
                <c:ptCount val="15"/>
                <c:pt idx="0">
                  <c:v>9.58905106780822E-2</c:v>
                </c:pt>
                <c:pt idx="1">
                  <c:v>0.20847899666558381</c:v>
                </c:pt>
                <c:pt idx="2">
                  <c:v>0.20792766445599317</c:v>
                </c:pt>
                <c:pt idx="3">
                  <c:v>3.6404502557551063E-3</c:v>
                </c:pt>
                <c:pt idx="4">
                  <c:v>2.4859404185436501E-2</c:v>
                </c:pt>
                <c:pt idx="5">
                  <c:v>6.2501583085731893E-2</c:v>
                </c:pt>
                <c:pt idx="6">
                  <c:v>6.0679625744542963E-3</c:v>
                </c:pt>
                <c:pt idx="7">
                  <c:v>-0.10451332450939055</c:v>
                </c:pt>
                <c:pt idx="8">
                  <c:v>2.5489794214872706E-2</c:v>
                </c:pt>
                <c:pt idx="9">
                  <c:v>9.2563672520833071E-2</c:v>
                </c:pt>
                <c:pt idx="10">
                  <c:v>0.15364552487333094</c:v>
                </c:pt>
                <c:pt idx="11">
                  <c:v>0.37707578440751366</c:v>
                </c:pt>
                <c:pt idx="12">
                  <c:v>0.15762482753159615</c:v>
                </c:pt>
                <c:pt idx="13">
                  <c:v>9.8773590071871878E-2</c:v>
                </c:pt>
                <c:pt idx="14">
                  <c:v>8.0476072445725078E-2</c:v>
                </c:pt>
              </c:numCache>
            </c:numRef>
          </c:val>
        </c:ser>
        <c:ser>
          <c:idx val="2"/>
          <c:order val="2"/>
          <c:tx>
            <c:strRef>
              <c:f>Sheet5!$B$1</c:f>
              <c:strCache>
                <c:ptCount val="1"/>
                <c:pt idx="0">
                  <c:v>Upper confidence limit</c:v>
                </c:pt>
              </c:strCache>
            </c:strRef>
          </c:tx>
          <c:spPr>
            <a:noFill/>
            <a:ln w="25400" cap="sq" cmpd="sng">
              <a:noFill/>
              <a:prstDash val="solid"/>
              <a:round/>
            </a:ln>
          </c:spPr>
          <c:invertIfNegative val="0"/>
          <c:trendline>
            <c:trendlineType val="linear"/>
            <c:dispRSqr val="0"/>
            <c:dispEq val="0"/>
          </c:trendline>
          <c:trendline>
            <c:name>Upper confidence limit</c:name>
            <c:spPr>
              <a:ln w="25400">
                <a:prstDash val="dash"/>
              </a:ln>
            </c:spPr>
            <c:trendlineType val="linear"/>
            <c:dispRSqr val="0"/>
            <c:dispEq val="0"/>
          </c:trendline>
          <c:trendline>
            <c:spPr>
              <a:ln w="25400">
                <a:solidFill>
                  <a:schemeClr val="accent2"/>
                </a:solidFill>
                <a:prstDash val="dash"/>
              </a:ln>
            </c:spPr>
            <c:trendlineType val="linear"/>
            <c:dispRSqr val="0"/>
            <c:dispEq val="0"/>
          </c:trendline>
          <c:cat>
            <c:numRef>
              <c:f>Sheet5!$D$2:$D$16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Sheet5!$B$2:$B$16</c:f>
              <c:numCache>
                <c:formatCode>General</c:formatCode>
                <c:ptCount val="15"/>
                <c:pt idx="0">
                  <c:v>0.17059296809316099</c:v>
                </c:pt>
                <c:pt idx="1">
                  <c:v>0.17059296809316099</c:v>
                </c:pt>
                <c:pt idx="2">
                  <c:v>0.17059296809316099</c:v>
                </c:pt>
                <c:pt idx="3">
                  <c:v>0.17059296809316099</c:v>
                </c:pt>
                <c:pt idx="4">
                  <c:v>0.17059296809316099</c:v>
                </c:pt>
                <c:pt idx="5">
                  <c:v>0.17059296809316099</c:v>
                </c:pt>
                <c:pt idx="6">
                  <c:v>0.17059296809316099</c:v>
                </c:pt>
                <c:pt idx="7">
                  <c:v>0.17059296809316099</c:v>
                </c:pt>
                <c:pt idx="8">
                  <c:v>0.17059296809316099</c:v>
                </c:pt>
                <c:pt idx="9">
                  <c:v>0.17059296809316099</c:v>
                </c:pt>
                <c:pt idx="10">
                  <c:v>0.17059296809316099</c:v>
                </c:pt>
                <c:pt idx="11">
                  <c:v>0.17059296809316099</c:v>
                </c:pt>
                <c:pt idx="12">
                  <c:v>0.17059296809316099</c:v>
                </c:pt>
                <c:pt idx="13">
                  <c:v>0.17059296809316099</c:v>
                </c:pt>
                <c:pt idx="14">
                  <c:v>0.17059296809316099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"/>
        <c:overlap val="100"/>
        <c:axId val="387358720"/>
        <c:axId val="386914496"/>
      </c:barChart>
      <c:catAx>
        <c:axId val="387358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l-GR" sz="1400"/>
                  <a:t>Υστερήσεις</a:t>
                </a:r>
              </a:p>
              <a:p>
                <a:pPr>
                  <a:defRPr sz="1400"/>
                </a:pPr>
                <a:endParaRPr lang="el-GR" sz="1400"/>
              </a:p>
            </c:rich>
          </c:tx>
          <c:layout>
            <c:manualLayout>
              <c:xMode val="edge"/>
              <c:yMode val="edge"/>
              <c:x val="0.45696107584889839"/>
              <c:y val="0.89608274013422495"/>
            </c:manualLayout>
          </c:layout>
          <c:overlay val="0"/>
        </c:title>
        <c:numFmt formatCode="General" sourceLinked="0"/>
        <c:majorTickMark val="out"/>
        <c:minorTickMark val="none"/>
        <c:tickLblPos val="low"/>
        <c:txPr>
          <a:bodyPr rot="0" vert="horz" anchor="ctr" anchorCtr="0"/>
          <a:lstStyle/>
          <a:p>
            <a:pPr>
              <a:defRPr/>
            </a:pPr>
            <a:endParaRPr lang="en-US"/>
          </a:p>
        </c:txPr>
        <c:crossAx val="386914496"/>
        <c:crosses val="autoZero"/>
        <c:auto val="1"/>
        <c:lblAlgn val="ctr"/>
        <c:lblOffset val="100"/>
        <c:noMultiLvlLbl val="0"/>
      </c:catAx>
      <c:valAx>
        <c:axId val="386914496"/>
        <c:scaling>
          <c:orientation val="minMax"/>
          <c:min val="-0.30000000000000004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387358720"/>
        <c:crossesAt val="1"/>
        <c:crossBetween val="between"/>
      </c:valAx>
    </c:plotArea>
    <c:legend>
      <c:legendPos val="t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70718755377184506"/>
          <c:y val="1.6700100024978733E-2"/>
          <c:w val="0.24582803188382615"/>
          <c:h val="0.1064408823765670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5,4510384535657  Residual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logaritmoi!$B$3:$B$133</c:f>
              <c:numCache>
                <c:formatCode>General</c:formatCode>
                <c:ptCount val="131"/>
                <c:pt idx="0">
                  <c:v>4.6634390941120669</c:v>
                </c:pt>
                <c:pt idx="1">
                  <c:v>5.1761497325738288</c:v>
                </c:pt>
                <c:pt idx="2">
                  <c:v>5.1647859739235145</c:v>
                </c:pt>
                <c:pt idx="3">
                  <c:v>5.181783550292085</c:v>
                </c:pt>
                <c:pt idx="4">
                  <c:v>5.1357984370502621</c:v>
                </c:pt>
                <c:pt idx="5">
                  <c:v>5.2933048247244923</c:v>
                </c:pt>
                <c:pt idx="6">
                  <c:v>4.7621739347977563</c:v>
                </c:pt>
                <c:pt idx="7">
                  <c:v>4.8040210447332568</c:v>
                </c:pt>
                <c:pt idx="8">
                  <c:v>4.9126548857360524</c:v>
                </c:pt>
                <c:pt idx="9">
                  <c:v>4.8675344504555822</c:v>
                </c:pt>
                <c:pt idx="10">
                  <c:v>4.219507705176107</c:v>
                </c:pt>
                <c:pt idx="11">
                  <c:v>5.1873858058407549</c:v>
                </c:pt>
                <c:pt idx="12">
                  <c:v>4.6443908991413725</c:v>
                </c:pt>
                <c:pt idx="13">
                  <c:v>4.8903491282217537</c:v>
                </c:pt>
                <c:pt idx="14">
                  <c:v>5.0937502008067623</c:v>
                </c:pt>
                <c:pt idx="15">
                  <c:v>5.1647859739235145</c:v>
                </c:pt>
                <c:pt idx="16">
                  <c:v>5.0937502008067623</c:v>
                </c:pt>
                <c:pt idx="17">
                  <c:v>5.0498560072495371</c:v>
                </c:pt>
                <c:pt idx="18">
                  <c:v>4.8121843553724171</c:v>
                </c:pt>
                <c:pt idx="19">
                  <c:v>4.9767337424205742</c:v>
                </c:pt>
                <c:pt idx="20">
                  <c:v>5.2832037287379885</c:v>
                </c:pt>
                <c:pt idx="21">
                  <c:v>5.2311086168545868</c:v>
                </c:pt>
                <c:pt idx="22">
                  <c:v>4.9344739331306915</c:v>
                </c:pt>
                <c:pt idx="23">
                  <c:v>5.6801726090170677</c:v>
                </c:pt>
                <c:pt idx="24">
                  <c:v>5.0562458053483077</c:v>
                </c:pt>
                <c:pt idx="25">
                  <c:v>5.1239639794032588</c:v>
                </c:pt>
                <c:pt idx="26">
                  <c:v>5.1590552992145291</c:v>
                </c:pt>
                <c:pt idx="27">
                  <c:v>5.8348107370626048</c:v>
                </c:pt>
                <c:pt idx="28">
                  <c:v>5.4249500174814029</c:v>
                </c:pt>
                <c:pt idx="29">
                  <c:v>5.3327187932653688</c:v>
                </c:pt>
                <c:pt idx="30">
                  <c:v>5.0106352940962555</c:v>
                </c:pt>
                <c:pt idx="31">
                  <c:v>5.1416635565026603</c:v>
                </c:pt>
                <c:pt idx="32">
                  <c:v>5.3798973535404597</c:v>
                </c:pt>
                <c:pt idx="33">
                  <c:v>5.0039463059454592</c:v>
                </c:pt>
                <c:pt idx="34">
                  <c:v>5.181783550292085</c:v>
                </c:pt>
                <c:pt idx="35">
                  <c:v>5.4071717714601188</c:v>
                </c:pt>
                <c:pt idx="36">
                  <c:v>5.0689042022202315</c:v>
                </c:pt>
                <c:pt idx="37">
                  <c:v>5.7365722974791922</c:v>
                </c:pt>
                <c:pt idx="38">
                  <c:v>5.9135030056382698</c:v>
                </c:pt>
                <c:pt idx="39">
                  <c:v>5.6419070709381138</c:v>
                </c:pt>
                <c:pt idx="40">
                  <c:v>5.4161004022044201</c:v>
                </c:pt>
                <c:pt idx="41">
                  <c:v>5.3752784076841653</c:v>
                </c:pt>
                <c:pt idx="42">
                  <c:v>4.8675344504555822</c:v>
                </c:pt>
                <c:pt idx="43">
                  <c:v>5.3278761687895813</c:v>
                </c:pt>
                <c:pt idx="44">
                  <c:v>4.990432586778736</c:v>
                </c:pt>
                <c:pt idx="45">
                  <c:v>5.2832037287379885</c:v>
                </c:pt>
                <c:pt idx="46">
                  <c:v>5.3132059790417872</c:v>
                </c:pt>
                <c:pt idx="47">
                  <c:v>5.0751738152338266</c:v>
                </c:pt>
                <c:pt idx="48">
                  <c:v>5.1984970312658261</c:v>
                </c:pt>
                <c:pt idx="49">
                  <c:v>5.4161004022044201</c:v>
                </c:pt>
                <c:pt idx="50">
                  <c:v>6.0330862217988015</c:v>
                </c:pt>
                <c:pt idx="51">
                  <c:v>6.0913098820776979</c:v>
                </c:pt>
                <c:pt idx="52">
                  <c:v>5.5012582105447274</c:v>
                </c:pt>
                <c:pt idx="53">
                  <c:v>5.5721540321777647</c:v>
                </c:pt>
                <c:pt idx="54">
                  <c:v>4.7706846244656651</c:v>
                </c:pt>
                <c:pt idx="55">
                  <c:v>4.9698132995760007</c:v>
                </c:pt>
                <c:pt idx="56">
                  <c:v>4.9698132995760007</c:v>
                </c:pt>
                <c:pt idx="57">
                  <c:v>5.2364419628299492</c:v>
                </c:pt>
                <c:pt idx="58">
                  <c:v>4.5108595065168497</c:v>
                </c:pt>
                <c:pt idx="59">
                  <c:v>5.7365722974791922</c:v>
                </c:pt>
                <c:pt idx="60">
                  <c:v>5.4205349992722862</c:v>
                </c:pt>
                <c:pt idx="61">
                  <c:v>5.5373342670185366</c:v>
                </c:pt>
                <c:pt idx="62">
                  <c:v>5.9532433342877846</c:v>
                </c:pt>
                <c:pt idx="63">
                  <c:v>5.7620513827801769</c:v>
                </c:pt>
                <c:pt idx="64">
                  <c:v>5.7620513827801769</c:v>
                </c:pt>
                <c:pt idx="65">
                  <c:v>5.1984970312658261</c:v>
                </c:pt>
                <c:pt idx="66">
                  <c:v>5.1532915944977793</c:v>
                </c:pt>
                <c:pt idx="67">
                  <c:v>5.5134287461649825</c:v>
                </c:pt>
                <c:pt idx="68">
                  <c:v>5.5683445037610966</c:v>
                </c:pt>
                <c:pt idx="69">
                  <c:v>5.3423342519648109</c:v>
                </c:pt>
                <c:pt idx="70">
                  <c:v>5.3033049080590757</c:v>
                </c:pt>
                <c:pt idx="71">
                  <c:v>5.7462031905401529</c:v>
                </c:pt>
                <c:pt idx="72">
                  <c:v>4.9698132995760007</c:v>
                </c:pt>
                <c:pt idx="73">
                  <c:v>5.3278761687895813</c:v>
                </c:pt>
                <c:pt idx="74">
                  <c:v>5.7037824746562009</c:v>
                </c:pt>
                <c:pt idx="75">
                  <c:v>5.6204008657171496</c:v>
                </c:pt>
                <c:pt idx="76">
                  <c:v>5.6903594543240601</c:v>
                </c:pt>
                <c:pt idx="77">
                  <c:v>5.6383546693337454</c:v>
                </c:pt>
                <c:pt idx="78">
                  <c:v>5.8141305318250662</c:v>
                </c:pt>
                <c:pt idx="79">
                  <c:v>3.784189633918261</c:v>
                </c:pt>
                <c:pt idx="80">
                  <c:v>5.2729995585637468</c:v>
                </c:pt>
                <c:pt idx="81">
                  <c:v>4.9487598903781684</c:v>
                </c:pt>
                <c:pt idx="82">
                  <c:v>4.8751973232011512</c:v>
                </c:pt>
                <c:pt idx="83">
                  <c:v>5.9135030056382698</c:v>
                </c:pt>
                <c:pt idx="84">
                  <c:v>5.4806389233419912</c:v>
                </c:pt>
                <c:pt idx="85">
                  <c:v>5.389071729816501</c:v>
                </c:pt>
                <c:pt idx="86">
                  <c:v>6.0520891689244172</c:v>
                </c:pt>
                <c:pt idx="87">
                  <c:v>6.1114673395026786</c:v>
                </c:pt>
                <c:pt idx="88">
                  <c:v>5.955837369464831</c:v>
                </c:pt>
                <c:pt idx="89">
                  <c:v>6.300785794663244</c:v>
                </c:pt>
                <c:pt idx="90">
                  <c:v>6.7190131543852596</c:v>
                </c:pt>
                <c:pt idx="91">
                  <c:v>4.1743872698956368</c:v>
                </c:pt>
                <c:pt idx="92">
                  <c:v>4.7957905455967413</c:v>
                </c:pt>
                <c:pt idx="93">
                  <c:v>5.5373342670185366</c:v>
                </c:pt>
                <c:pt idx="94">
                  <c:v>4.7535901911063645</c:v>
                </c:pt>
                <c:pt idx="95">
                  <c:v>5.8805329864007003</c:v>
                </c:pt>
                <c:pt idx="96">
                  <c:v>5.2470240721604862</c:v>
                </c:pt>
                <c:pt idx="97">
                  <c:v>4.6821312271242199</c:v>
                </c:pt>
                <c:pt idx="98">
                  <c:v>5.1647859739235145</c:v>
                </c:pt>
                <c:pt idx="99">
                  <c:v>5.3659760150218512</c:v>
                </c:pt>
                <c:pt idx="100">
                  <c:v>5.6970934865054046</c:v>
                </c:pt>
                <c:pt idx="101">
                  <c:v>5.7868973813667077</c:v>
                </c:pt>
                <c:pt idx="102">
                  <c:v>5.3752784076841653</c:v>
                </c:pt>
                <c:pt idx="103">
                  <c:v>5.1059454739005803</c:v>
                </c:pt>
                <c:pt idx="104">
                  <c:v>5.43372200355424</c:v>
                </c:pt>
                <c:pt idx="105">
                  <c:v>5.5721540321777647</c:v>
                </c:pt>
                <c:pt idx="106">
                  <c:v>5.0434251169192468</c:v>
                </c:pt>
                <c:pt idx="107">
                  <c:v>5.4595855141441589</c:v>
                </c:pt>
                <c:pt idx="108">
                  <c:v>5.4889377261566867</c:v>
                </c:pt>
                <c:pt idx="109">
                  <c:v>5.7104270173748697</c:v>
                </c:pt>
                <c:pt idx="110">
                  <c:v>5.9107966440405271</c:v>
                </c:pt>
                <c:pt idx="111">
                  <c:v>5.7868973813667077</c:v>
                </c:pt>
                <c:pt idx="112">
                  <c:v>6.1944053911046719</c:v>
                </c:pt>
                <c:pt idx="113">
                  <c:v>5.4293456289544411</c:v>
                </c:pt>
                <c:pt idx="114">
                  <c:v>5.5490760848952201</c:v>
                </c:pt>
                <c:pt idx="115">
                  <c:v>5.5174528964647074</c:v>
                </c:pt>
                <c:pt idx="116">
                  <c:v>5.7104270173748697</c:v>
                </c:pt>
                <c:pt idx="117">
                  <c:v>5.7104270173748697</c:v>
                </c:pt>
                <c:pt idx="118">
                  <c:v>5.4930614433405482</c:v>
                </c:pt>
                <c:pt idx="119">
                  <c:v>5.4510384535657002</c:v>
                </c:pt>
                <c:pt idx="120">
                  <c:v>5.4380793089231956</c:v>
                </c:pt>
                <c:pt idx="121">
                  <c:v>5.6489742381612063</c:v>
                </c:pt>
                <c:pt idx="122">
                  <c:v>5.8377304471659395</c:v>
                </c:pt>
                <c:pt idx="123">
                  <c:v>5.8833223884882786</c:v>
                </c:pt>
                <c:pt idx="124">
                  <c:v>5.8916442118257715</c:v>
                </c:pt>
                <c:pt idx="125">
                  <c:v>5.602118820879701</c:v>
                </c:pt>
                <c:pt idx="126">
                  <c:v>5.0304379213924353</c:v>
                </c:pt>
                <c:pt idx="127">
                  <c:v>5.4424177105217932</c:v>
                </c:pt>
                <c:pt idx="128">
                  <c:v>5.0937502008067623</c:v>
                </c:pt>
                <c:pt idx="129">
                  <c:v>5.6058020662959978</c:v>
                </c:pt>
                <c:pt idx="130">
                  <c:v>5.5174528964647074</c:v>
                </c:pt>
              </c:numCache>
            </c:numRef>
          </c:xVal>
          <c:yVal>
            <c:numRef>
              <c:f>logaritmoi!$X$25:$X$155</c:f>
              <c:numCache>
                <c:formatCode>General</c:formatCode>
                <c:ptCount val="131"/>
                <c:pt idx="0">
                  <c:v>0.37984500188839299</c:v>
                </c:pt>
                <c:pt idx="1">
                  <c:v>-0.41205675102376915</c:v>
                </c:pt>
                <c:pt idx="2">
                  <c:v>9.6351493979463854E-2</c:v>
                </c:pt>
                <c:pt idx="3">
                  <c:v>8.0685341870620597E-2</c:v>
                </c:pt>
                <c:pt idx="4">
                  <c:v>9.3380524780662277E-2</c:v>
                </c:pt>
                <c:pt idx="5">
                  <c:v>4.3093018080310408E-2</c:v>
                </c:pt>
                <c:pt idx="6">
                  <c:v>0.1962970122960126</c:v>
                </c:pt>
                <c:pt idx="7">
                  <c:v>-0.33913627108925226</c:v>
                </c:pt>
                <c:pt idx="8">
                  <c:v>-0.30159155461228071</c:v>
                </c:pt>
                <c:pt idx="9">
                  <c:v>-0.197260107068014</c:v>
                </c:pt>
                <c:pt idx="10">
                  <c:v>-0.24668293580701306</c:v>
                </c:pt>
                <c:pt idx="11">
                  <c:v>-0.89901207454501719</c:v>
                </c:pt>
                <c:pt idx="12">
                  <c:v>6.4563632661101877E-2</c:v>
                </c:pt>
                <c:pt idx="13">
                  <c:v>-0.48273366749680946</c:v>
                </c:pt>
                <c:pt idx="14">
                  <c:v>-0.24107783187495713</c:v>
                </c:pt>
                <c:pt idx="15">
                  <c:v>-4.1979152748477411E-2</c:v>
                </c:pt>
                <c:pt idx="16">
                  <c:v>2.4754226909745825E-2</c:v>
                </c:pt>
                <c:pt idx="17">
                  <c:v>-5.0583939665535205E-2</c:v>
                </c:pt>
                <c:pt idx="18">
                  <c:v>-9.8780526681289338E-2</c:v>
                </c:pt>
                <c:pt idx="19">
                  <c:v>-0.34075457201693826</c:v>
                </c:pt>
                <c:pt idx="20">
                  <c:v>-0.18050757842731002</c:v>
                </c:pt>
                <c:pt idx="21">
                  <c:v>0.12166001443157626</c:v>
                </c:pt>
                <c:pt idx="22">
                  <c:v>6.5262509089645704E-2</c:v>
                </c:pt>
                <c:pt idx="23">
                  <c:v>-0.23567456809277854</c:v>
                </c:pt>
                <c:pt idx="24">
                  <c:v>0.50572171433506874</c:v>
                </c:pt>
                <c:pt idx="25">
                  <c:v>-0.12250748279222012</c:v>
                </c:pt>
                <c:pt idx="26">
                  <c:v>-5.9091702195797957E-2</c:v>
                </c:pt>
                <c:pt idx="27">
                  <c:v>-2.8302775843056516E-2</c:v>
                </c:pt>
                <c:pt idx="28">
                  <c:v>0.64315026854649027</c:v>
                </c:pt>
                <c:pt idx="29">
                  <c:v>0.22898715550675952</c:v>
                </c:pt>
                <c:pt idx="30">
                  <c:v>0.13245353783219649</c:v>
                </c:pt>
                <c:pt idx="31">
                  <c:v>-0.19393235479544568</c:v>
                </c:pt>
                <c:pt idx="32">
                  <c:v>-6.720648584756983E-2</c:v>
                </c:pt>
                <c:pt idx="33">
                  <c:v>0.16672491773170073</c:v>
                </c:pt>
                <c:pt idx="34">
                  <c:v>-0.21352852332182781</c:v>
                </c:pt>
                <c:pt idx="35">
                  <c:v>-3.9993672433730865E-2</c:v>
                </c:pt>
                <c:pt idx="36">
                  <c:v>0.18109215527577405</c:v>
                </c:pt>
                <c:pt idx="37">
                  <c:v>-0.16147780742264217</c:v>
                </c:pt>
                <c:pt idx="38">
                  <c:v>0.50188789437778958</c:v>
                </c:pt>
                <c:pt idx="39">
                  <c:v>0.67451620907833831</c:v>
                </c:pt>
                <c:pt idx="40">
                  <c:v>0.39861788091965344</c:v>
                </c:pt>
                <c:pt idx="41">
                  <c:v>0.16850881872743084</c:v>
                </c:pt>
                <c:pt idx="42">
                  <c:v>0.12338443074864713</c:v>
                </c:pt>
                <c:pt idx="43">
                  <c:v>-0.38866191993846488</c:v>
                </c:pt>
                <c:pt idx="44">
                  <c:v>6.7377404937005281E-2</c:v>
                </c:pt>
                <c:pt idx="45">
                  <c:v>-0.27436857053236885</c:v>
                </c:pt>
                <c:pt idx="46">
                  <c:v>1.4100177968354721E-2</c:v>
                </c:pt>
                <c:pt idx="47">
                  <c:v>3.9800034813624485E-2</c:v>
                </c:pt>
                <c:pt idx="48">
                  <c:v>-0.20253452245286496</c:v>
                </c:pt>
                <c:pt idx="49">
                  <c:v>-8.3513699879393499E-2</c:v>
                </c:pt>
                <c:pt idx="50">
                  <c:v>0.12978727760067166</c:v>
                </c:pt>
                <c:pt idx="51">
                  <c:v>0.74247070373652413</c:v>
                </c:pt>
                <c:pt idx="52">
                  <c:v>0.79639197055689159</c:v>
                </c:pt>
                <c:pt idx="53">
                  <c:v>0.20203790556539225</c:v>
                </c:pt>
                <c:pt idx="54">
                  <c:v>0.26863133373990067</c:v>
                </c:pt>
                <c:pt idx="55">
                  <c:v>-0.53714046743072785</c:v>
                </c:pt>
                <c:pt idx="56">
                  <c:v>-0.34231418577892114</c:v>
                </c:pt>
                <c:pt idx="57">
                  <c:v>-0.34661657923745004</c:v>
                </c:pt>
                <c:pt idx="58">
                  <c:v>-8.429030944203042E-2</c:v>
                </c:pt>
                <c:pt idx="59">
                  <c:v>-0.81417515921365879</c:v>
                </c:pt>
                <c:pt idx="60">
                  <c:v>0.40723523829015473</c:v>
                </c:pt>
                <c:pt idx="61">
                  <c:v>8.6895546624719877E-2</c:v>
                </c:pt>
                <c:pt idx="62">
                  <c:v>0.19939242091244225</c:v>
                </c:pt>
                <c:pt idx="63">
                  <c:v>0.61099909472316138</c:v>
                </c:pt>
                <c:pt idx="64">
                  <c:v>0.41550474975702478</c:v>
                </c:pt>
                <c:pt idx="65">
                  <c:v>0.41120235629849589</c:v>
                </c:pt>
                <c:pt idx="66">
                  <c:v>-0.15665438867438386</c:v>
                </c:pt>
                <c:pt idx="67">
                  <c:v>-0.20616221890095954</c:v>
                </c:pt>
                <c:pt idx="68">
                  <c:v>0.14967253930771474</c:v>
                </c:pt>
                <c:pt idx="69">
                  <c:v>0.20028590344529995</c:v>
                </c:pt>
                <c:pt idx="70">
                  <c:v>-3.002674180951459E-2</c:v>
                </c:pt>
                <c:pt idx="71">
                  <c:v>-7.335847917377869E-2</c:v>
                </c:pt>
                <c:pt idx="72">
                  <c:v>0.36523740984876962</c:v>
                </c:pt>
                <c:pt idx="73">
                  <c:v>-0.4154548745739115</c:v>
                </c:pt>
                <c:pt idx="74">
                  <c:v>-6.1694398818859852E-2</c:v>
                </c:pt>
                <c:pt idx="75">
                  <c:v>0.30990951358923091</c:v>
                </c:pt>
                <c:pt idx="76">
                  <c:v>0.22222551119165068</c:v>
                </c:pt>
                <c:pt idx="77">
                  <c:v>0.28788170634003318</c:v>
                </c:pt>
                <c:pt idx="78">
                  <c:v>0.2315745278911896</c:v>
                </c:pt>
                <c:pt idx="79">
                  <c:v>0.40304799692398152</c:v>
                </c:pt>
                <c:pt idx="80">
                  <c:v>-1.6311952944413526</c:v>
                </c:pt>
                <c:pt idx="81">
                  <c:v>-0.1466877632543957</c:v>
                </c:pt>
                <c:pt idx="82">
                  <c:v>-0.47522982489850296</c:v>
                </c:pt>
                <c:pt idx="83">
                  <c:v>-0.55309478553404912</c:v>
                </c:pt>
                <c:pt idx="84">
                  <c:v>0.48090850344454061</c:v>
                </c:pt>
                <c:pt idx="85">
                  <c:v>4.3742027689733121E-2</c:v>
                </c:pt>
                <c:pt idx="86">
                  <c:v>-5.212755929428603E-2</c:v>
                </c:pt>
                <c:pt idx="87">
                  <c:v>0.60658748635510129</c:v>
                </c:pt>
                <c:pt idx="88">
                  <c:v>0.66166326347483384</c:v>
                </c:pt>
                <c:pt idx="89">
                  <c:v>0.50173089997845732</c:v>
                </c:pt>
                <c:pt idx="90">
                  <c:v>0.84237693171834227</c:v>
                </c:pt>
                <c:pt idx="91">
                  <c:v>1.256301897981829</c:v>
                </c:pt>
                <c:pt idx="92">
                  <c:v>-1.2926263799663227</c:v>
                </c:pt>
                <c:pt idx="93">
                  <c:v>-0.67552549772374704</c:v>
                </c:pt>
                <c:pt idx="94">
                  <c:v>6.171583023951932E-2</c:v>
                </c:pt>
                <c:pt idx="95">
                  <c:v>-0.72633063913118168</c:v>
                </c:pt>
                <c:pt idx="96">
                  <c:v>0.39630976270462526</c:v>
                </c:pt>
                <c:pt idx="97">
                  <c:v>-0.2415015449941178</c:v>
                </c:pt>
                <c:pt idx="98">
                  <c:v>-0.81069678348891294</c:v>
                </c:pt>
                <c:pt idx="99">
                  <c:v>-0.3323444301481473</c:v>
                </c:pt>
                <c:pt idx="100">
                  <c:v>-0.13545678250833948</c:v>
                </c:pt>
                <c:pt idx="101">
                  <c:v>0.19135829551668504</c:v>
                </c:pt>
                <c:pt idx="102">
                  <c:v>0.27685979691945928</c:v>
                </c:pt>
                <c:pt idx="103">
                  <c:v>-0.13906157022161203</c:v>
                </c:pt>
                <c:pt idx="104">
                  <c:v>-0.41269689746372595</c:v>
                </c:pt>
                <c:pt idx="105">
                  <c:v>-8.9222761268594297E-2</c:v>
                </c:pt>
                <c:pt idx="106">
                  <c:v>4.4906873896401578E-2</c:v>
                </c:pt>
                <c:pt idx="107">
                  <c:v>-0.48812443482064527</c:v>
                </c:pt>
                <c:pt idx="108">
                  <c:v>-7.6266431054262007E-2</c:v>
                </c:pt>
                <c:pt idx="109">
                  <c:v>-5.1216612500263103E-2</c:v>
                </c:pt>
                <c:pt idx="110">
                  <c:v>0.16597028525939095</c:v>
                </c:pt>
                <c:pt idx="111">
                  <c:v>0.36203751846651944</c:v>
                </c:pt>
                <c:pt idx="112">
                  <c:v>0.2338358623341712</c:v>
                </c:pt>
                <c:pt idx="113">
                  <c:v>0.63704147861360649</c:v>
                </c:pt>
                <c:pt idx="114">
                  <c:v>-0.13232067699515326</c:v>
                </c:pt>
                <c:pt idx="115">
                  <c:v>-1.6892614512903137E-2</c:v>
                </c:pt>
                <c:pt idx="116">
                  <c:v>-5.2818196401944739E-2</c:v>
                </c:pt>
                <c:pt idx="117">
                  <c:v>0.13585353104968867</c:v>
                </c:pt>
                <c:pt idx="118">
                  <c:v>0.13155113759116066</c:v>
                </c:pt>
                <c:pt idx="119">
                  <c:v>-9.0116829901689677E-2</c:v>
                </c:pt>
                <c:pt idx="120">
                  <c:v>-0.13644221313506666</c:v>
                </c:pt>
                <c:pt idx="121">
                  <c:v>-0.15370375123610014</c:v>
                </c:pt>
                <c:pt idx="122">
                  <c:v>5.2888784543381639E-2</c:v>
                </c:pt>
                <c:pt idx="123">
                  <c:v>0.23734260008958596</c:v>
                </c:pt>
                <c:pt idx="124">
                  <c:v>0.27863214795339619</c:v>
                </c:pt>
                <c:pt idx="125">
                  <c:v>0.28265157783236017</c:v>
                </c:pt>
                <c:pt idx="126">
                  <c:v>-1.1176206572239167E-2</c:v>
                </c:pt>
                <c:pt idx="127">
                  <c:v>-0.58715949951803381</c:v>
                </c:pt>
                <c:pt idx="128">
                  <c:v>-0.17948210384720475</c:v>
                </c:pt>
                <c:pt idx="129">
                  <c:v>-0.53245200702076456</c:v>
                </c:pt>
                <c:pt idx="130">
                  <c:v>-2.4702534990058034E-2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857856"/>
        <c:axId val="394670016"/>
      </c:scatterChart>
      <c:valAx>
        <c:axId val="394857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5,4510384535657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94670016"/>
        <c:crosses val="autoZero"/>
        <c:crossBetween val="midCat"/>
      </c:valAx>
      <c:valAx>
        <c:axId val="3946700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948578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5,4510384535657 Line Fit 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logaritmoi!$B$3:$B$133</c:f>
              <c:numCache>
                <c:formatCode>General</c:formatCode>
                <c:ptCount val="131"/>
                <c:pt idx="0">
                  <c:v>4.6634390941120669</c:v>
                </c:pt>
                <c:pt idx="1">
                  <c:v>5.1761497325738288</c:v>
                </c:pt>
                <c:pt idx="2">
                  <c:v>5.1647859739235145</c:v>
                </c:pt>
                <c:pt idx="3">
                  <c:v>5.181783550292085</c:v>
                </c:pt>
                <c:pt idx="4">
                  <c:v>5.1357984370502621</c:v>
                </c:pt>
                <c:pt idx="5">
                  <c:v>5.2933048247244923</c:v>
                </c:pt>
                <c:pt idx="6">
                  <c:v>4.7621739347977563</c:v>
                </c:pt>
                <c:pt idx="7">
                  <c:v>4.8040210447332568</c:v>
                </c:pt>
                <c:pt idx="8">
                  <c:v>4.9126548857360524</c:v>
                </c:pt>
                <c:pt idx="9">
                  <c:v>4.8675344504555822</c:v>
                </c:pt>
                <c:pt idx="10">
                  <c:v>4.219507705176107</c:v>
                </c:pt>
                <c:pt idx="11">
                  <c:v>5.1873858058407549</c:v>
                </c:pt>
                <c:pt idx="12">
                  <c:v>4.6443908991413725</c:v>
                </c:pt>
                <c:pt idx="13">
                  <c:v>4.8903491282217537</c:v>
                </c:pt>
                <c:pt idx="14">
                  <c:v>5.0937502008067623</c:v>
                </c:pt>
                <c:pt idx="15">
                  <c:v>5.1647859739235145</c:v>
                </c:pt>
                <c:pt idx="16">
                  <c:v>5.0937502008067623</c:v>
                </c:pt>
                <c:pt idx="17">
                  <c:v>5.0498560072495371</c:v>
                </c:pt>
                <c:pt idx="18">
                  <c:v>4.8121843553724171</c:v>
                </c:pt>
                <c:pt idx="19">
                  <c:v>4.9767337424205742</c:v>
                </c:pt>
                <c:pt idx="20">
                  <c:v>5.2832037287379885</c:v>
                </c:pt>
                <c:pt idx="21">
                  <c:v>5.2311086168545868</c:v>
                </c:pt>
                <c:pt idx="22">
                  <c:v>4.9344739331306915</c:v>
                </c:pt>
                <c:pt idx="23">
                  <c:v>5.6801726090170677</c:v>
                </c:pt>
                <c:pt idx="24">
                  <c:v>5.0562458053483077</c:v>
                </c:pt>
                <c:pt idx="25">
                  <c:v>5.1239639794032588</c:v>
                </c:pt>
                <c:pt idx="26">
                  <c:v>5.1590552992145291</c:v>
                </c:pt>
                <c:pt idx="27">
                  <c:v>5.8348107370626048</c:v>
                </c:pt>
                <c:pt idx="28">
                  <c:v>5.4249500174814029</c:v>
                </c:pt>
                <c:pt idx="29">
                  <c:v>5.3327187932653688</c:v>
                </c:pt>
                <c:pt idx="30">
                  <c:v>5.0106352940962555</c:v>
                </c:pt>
                <c:pt idx="31">
                  <c:v>5.1416635565026603</c:v>
                </c:pt>
                <c:pt idx="32">
                  <c:v>5.3798973535404597</c:v>
                </c:pt>
                <c:pt idx="33">
                  <c:v>5.0039463059454592</c:v>
                </c:pt>
                <c:pt idx="34">
                  <c:v>5.181783550292085</c:v>
                </c:pt>
                <c:pt idx="35">
                  <c:v>5.4071717714601188</c:v>
                </c:pt>
                <c:pt idx="36">
                  <c:v>5.0689042022202315</c:v>
                </c:pt>
                <c:pt idx="37">
                  <c:v>5.7365722974791922</c:v>
                </c:pt>
                <c:pt idx="38">
                  <c:v>5.9135030056382698</c:v>
                </c:pt>
                <c:pt idx="39">
                  <c:v>5.6419070709381138</c:v>
                </c:pt>
                <c:pt idx="40">
                  <c:v>5.4161004022044201</c:v>
                </c:pt>
                <c:pt idx="41">
                  <c:v>5.3752784076841653</c:v>
                </c:pt>
                <c:pt idx="42">
                  <c:v>4.8675344504555822</c:v>
                </c:pt>
                <c:pt idx="43">
                  <c:v>5.3278761687895813</c:v>
                </c:pt>
                <c:pt idx="44">
                  <c:v>4.990432586778736</c:v>
                </c:pt>
                <c:pt idx="45">
                  <c:v>5.2832037287379885</c:v>
                </c:pt>
                <c:pt idx="46">
                  <c:v>5.3132059790417872</c:v>
                </c:pt>
                <c:pt idx="47">
                  <c:v>5.0751738152338266</c:v>
                </c:pt>
                <c:pt idx="48">
                  <c:v>5.1984970312658261</c:v>
                </c:pt>
                <c:pt idx="49">
                  <c:v>5.4161004022044201</c:v>
                </c:pt>
                <c:pt idx="50">
                  <c:v>6.0330862217988015</c:v>
                </c:pt>
                <c:pt idx="51">
                  <c:v>6.0913098820776979</c:v>
                </c:pt>
                <c:pt idx="52">
                  <c:v>5.5012582105447274</c:v>
                </c:pt>
                <c:pt idx="53">
                  <c:v>5.5721540321777647</c:v>
                </c:pt>
                <c:pt idx="54">
                  <c:v>4.7706846244656651</c:v>
                </c:pt>
                <c:pt idx="55">
                  <c:v>4.9698132995760007</c:v>
                </c:pt>
                <c:pt idx="56">
                  <c:v>4.9698132995760007</c:v>
                </c:pt>
                <c:pt idx="57">
                  <c:v>5.2364419628299492</c:v>
                </c:pt>
                <c:pt idx="58">
                  <c:v>4.5108595065168497</c:v>
                </c:pt>
                <c:pt idx="59">
                  <c:v>5.7365722974791922</c:v>
                </c:pt>
                <c:pt idx="60">
                  <c:v>5.4205349992722862</c:v>
                </c:pt>
                <c:pt idx="61">
                  <c:v>5.5373342670185366</c:v>
                </c:pt>
                <c:pt idx="62">
                  <c:v>5.9532433342877846</c:v>
                </c:pt>
                <c:pt idx="63">
                  <c:v>5.7620513827801769</c:v>
                </c:pt>
                <c:pt idx="64">
                  <c:v>5.7620513827801769</c:v>
                </c:pt>
                <c:pt idx="65">
                  <c:v>5.1984970312658261</c:v>
                </c:pt>
                <c:pt idx="66">
                  <c:v>5.1532915944977793</c:v>
                </c:pt>
                <c:pt idx="67">
                  <c:v>5.5134287461649825</c:v>
                </c:pt>
                <c:pt idx="68">
                  <c:v>5.5683445037610966</c:v>
                </c:pt>
                <c:pt idx="69">
                  <c:v>5.3423342519648109</c:v>
                </c:pt>
                <c:pt idx="70">
                  <c:v>5.3033049080590757</c:v>
                </c:pt>
                <c:pt idx="71">
                  <c:v>5.7462031905401529</c:v>
                </c:pt>
                <c:pt idx="72">
                  <c:v>4.9698132995760007</c:v>
                </c:pt>
                <c:pt idx="73">
                  <c:v>5.3278761687895813</c:v>
                </c:pt>
                <c:pt idx="74">
                  <c:v>5.7037824746562009</c:v>
                </c:pt>
                <c:pt idx="75">
                  <c:v>5.6204008657171496</c:v>
                </c:pt>
                <c:pt idx="76">
                  <c:v>5.6903594543240601</c:v>
                </c:pt>
                <c:pt idx="77">
                  <c:v>5.6383546693337454</c:v>
                </c:pt>
                <c:pt idx="78">
                  <c:v>5.8141305318250662</c:v>
                </c:pt>
                <c:pt idx="79">
                  <c:v>3.784189633918261</c:v>
                </c:pt>
                <c:pt idx="80">
                  <c:v>5.2729995585637468</c:v>
                </c:pt>
                <c:pt idx="81">
                  <c:v>4.9487598903781684</c:v>
                </c:pt>
                <c:pt idx="82">
                  <c:v>4.8751973232011512</c:v>
                </c:pt>
                <c:pt idx="83">
                  <c:v>5.9135030056382698</c:v>
                </c:pt>
                <c:pt idx="84">
                  <c:v>5.4806389233419912</c:v>
                </c:pt>
                <c:pt idx="85">
                  <c:v>5.389071729816501</c:v>
                </c:pt>
                <c:pt idx="86">
                  <c:v>6.0520891689244172</c:v>
                </c:pt>
                <c:pt idx="87">
                  <c:v>6.1114673395026786</c:v>
                </c:pt>
                <c:pt idx="88">
                  <c:v>5.955837369464831</c:v>
                </c:pt>
                <c:pt idx="89">
                  <c:v>6.300785794663244</c:v>
                </c:pt>
                <c:pt idx="90">
                  <c:v>6.7190131543852596</c:v>
                </c:pt>
                <c:pt idx="91">
                  <c:v>4.1743872698956368</c:v>
                </c:pt>
                <c:pt idx="92">
                  <c:v>4.7957905455967413</c:v>
                </c:pt>
                <c:pt idx="93">
                  <c:v>5.5373342670185366</c:v>
                </c:pt>
                <c:pt idx="94">
                  <c:v>4.7535901911063645</c:v>
                </c:pt>
                <c:pt idx="95">
                  <c:v>5.8805329864007003</c:v>
                </c:pt>
                <c:pt idx="96">
                  <c:v>5.2470240721604862</c:v>
                </c:pt>
                <c:pt idx="97">
                  <c:v>4.6821312271242199</c:v>
                </c:pt>
                <c:pt idx="98">
                  <c:v>5.1647859739235145</c:v>
                </c:pt>
                <c:pt idx="99">
                  <c:v>5.3659760150218512</c:v>
                </c:pt>
                <c:pt idx="100">
                  <c:v>5.6970934865054046</c:v>
                </c:pt>
                <c:pt idx="101">
                  <c:v>5.7868973813667077</c:v>
                </c:pt>
                <c:pt idx="102">
                  <c:v>5.3752784076841653</c:v>
                </c:pt>
                <c:pt idx="103">
                  <c:v>5.1059454739005803</c:v>
                </c:pt>
                <c:pt idx="104">
                  <c:v>5.43372200355424</c:v>
                </c:pt>
                <c:pt idx="105">
                  <c:v>5.5721540321777647</c:v>
                </c:pt>
                <c:pt idx="106">
                  <c:v>5.0434251169192468</c:v>
                </c:pt>
                <c:pt idx="107">
                  <c:v>5.4595855141441589</c:v>
                </c:pt>
                <c:pt idx="108">
                  <c:v>5.4889377261566867</c:v>
                </c:pt>
                <c:pt idx="109">
                  <c:v>5.7104270173748697</c:v>
                </c:pt>
                <c:pt idx="110">
                  <c:v>5.9107966440405271</c:v>
                </c:pt>
                <c:pt idx="111">
                  <c:v>5.7868973813667077</c:v>
                </c:pt>
                <c:pt idx="112">
                  <c:v>6.1944053911046719</c:v>
                </c:pt>
                <c:pt idx="113">
                  <c:v>5.4293456289544411</c:v>
                </c:pt>
                <c:pt idx="114">
                  <c:v>5.5490760848952201</c:v>
                </c:pt>
                <c:pt idx="115">
                  <c:v>5.5174528964647074</c:v>
                </c:pt>
                <c:pt idx="116">
                  <c:v>5.7104270173748697</c:v>
                </c:pt>
                <c:pt idx="117">
                  <c:v>5.7104270173748697</c:v>
                </c:pt>
                <c:pt idx="118">
                  <c:v>5.4930614433405482</c:v>
                </c:pt>
                <c:pt idx="119">
                  <c:v>5.4510384535657002</c:v>
                </c:pt>
                <c:pt idx="120">
                  <c:v>5.4380793089231956</c:v>
                </c:pt>
                <c:pt idx="121">
                  <c:v>5.6489742381612063</c:v>
                </c:pt>
                <c:pt idx="122">
                  <c:v>5.8377304471659395</c:v>
                </c:pt>
                <c:pt idx="123">
                  <c:v>5.8833223884882786</c:v>
                </c:pt>
                <c:pt idx="124">
                  <c:v>5.8916442118257715</c:v>
                </c:pt>
                <c:pt idx="125">
                  <c:v>5.602118820879701</c:v>
                </c:pt>
                <c:pt idx="126">
                  <c:v>5.0304379213924353</c:v>
                </c:pt>
                <c:pt idx="127">
                  <c:v>5.4424177105217932</c:v>
                </c:pt>
                <c:pt idx="128">
                  <c:v>5.0937502008067623</c:v>
                </c:pt>
                <c:pt idx="129">
                  <c:v>5.6058020662959978</c:v>
                </c:pt>
                <c:pt idx="130">
                  <c:v>5.5174528964647074</c:v>
                </c:pt>
              </c:numCache>
            </c:numRef>
          </c:xVal>
          <c:yVal>
            <c:numRef>
              <c:f>logaritmoi!$A$3:$A$133</c:f>
              <c:numCache>
                <c:formatCode>General</c:formatCode>
                <c:ptCount val="13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</c:numCache>
            </c:numRef>
          </c:yVal>
          <c:smooth val="0"/>
        </c:ser>
        <c:ser>
          <c:idx val="1"/>
          <c:order val="1"/>
          <c:tx>
            <c:v>Predicted 1</c:v>
          </c:tx>
          <c:spPr>
            <a:ln w="28575">
              <a:noFill/>
            </a:ln>
          </c:spPr>
          <c:xVal>
            <c:numRef>
              <c:f>logaritmoi!$B$3:$B$133</c:f>
              <c:numCache>
                <c:formatCode>General</c:formatCode>
                <c:ptCount val="131"/>
                <c:pt idx="0">
                  <c:v>4.6634390941120669</c:v>
                </c:pt>
                <c:pt idx="1">
                  <c:v>5.1761497325738288</c:v>
                </c:pt>
                <c:pt idx="2">
                  <c:v>5.1647859739235145</c:v>
                </c:pt>
                <c:pt idx="3">
                  <c:v>5.181783550292085</c:v>
                </c:pt>
                <c:pt idx="4">
                  <c:v>5.1357984370502621</c:v>
                </c:pt>
                <c:pt idx="5">
                  <c:v>5.2933048247244923</c:v>
                </c:pt>
                <c:pt idx="6">
                  <c:v>4.7621739347977563</c:v>
                </c:pt>
                <c:pt idx="7">
                  <c:v>4.8040210447332568</c:v>
                </c:pt>
                <c:pt idx="8">
                  <c:v>4.9126548857360524</c:v>
                </c:pt>
                <c:pt idx="9">
                  <c:v>4.8675344504555822</c:v>
                </c:pt>
                <c:pt idx="10">
                  <c:v>4.219507705176107</c:v>
                </c:pt>
                <c:pt idx="11">
                  <c:v>5.1873858058407549</c:v>
                </c:pt>
                <c:pt idx="12">
                  <c:v>4.6443908991413725</c:v>
                </c:pt>
                <c:pt idx="13">
                  <c:v>4.8903491282217537</c:v>
                </c:pt>
                <c:pt idx="14">
                  <c:v>5.0937502008067623</c:v>
                </c:pt>
                <c:pt idx="15">
                  <c:v>5.1647859739235145</c:v>
                </c:pt>
                <c:pt idx="16">
                  <c:v>5.0937502008067623</c:v>
                </c:pt>
                <c:pt idx="17">
                  <c:v>5.0498560072495371</c:v>
                </c:pt>
                <c:pt idx="18">
                  <c:v>4.8121843553724171</c:v>
                </c:pt>
                <c:pt idx="19">
                  <c:v>4.9767337424205742</c:v>
                </c:pt>
                <c:pt idx="20">
                  <c:v>5.2832037287379885</c:v>
                </c:pt>
                <c:pt idx="21">
                  <c:v>5.2311086168545868</c:v>
                </c:pt>
                <c:pt idx="22">
                  <c:v>4.9344739331306915</c:v>
                </c:pt>
                <c:pt idx="23">
                  <c:v>5.6801726090170677</c:v>
                </c:pt>
                <c:pt idx="24">
                  <c:v>5.0562458053483077</c:v>
                </c:pt>
                <c:pt idx="25">
                  <c:v>5.1239639794032588</c:v>
                </c:pt>
                <c:pt idx="26">
                  <c:v>5.1590552992145291</c:v>
                </c:pt>
                <c:pt idx="27">
                  <c:v>5.8348107370626048</c:v>
                </c:pt>
                <c:pt idx="28">
                  <c:v>5.4249500174814029</c:v>
                </c:pt>
                <c:pt idx="29">
                  <c:v>5.3327187932653688</c:v>
                </c:pt>
                <c:pt idx="30">
                  <c:v>5.0106352940962555</c:v>
                </c:pt>
                <c:pt idx="31">
                  <c:v>5.1416635565026603</c:v>
                </c:pt>
                <c:pt idx="32">
                  <c:v>5.3798973535404597</c:v>
                </c:pt>
                <c:pt idx="33">
                  <c:v>5.0039463059454592</c:v>
                </c:pt>
                <c:pt idx="34">
                  <c:v>5.181783550292085</c:v>
                </c:pt>
                <c:pt idx="35">
                  <c:v>5.4071717714601188</c:v>
                </c:pt>
                <c:pt idx="36">
                  <c:v>5.0689042022202315</c:v>
                </c:pt>
                <c:pt idx="37">
                  <c:v>5.7365722974791922</c:v>
                </c:pt>
                <c:pt idx="38">
                  <c:v>5.9135030056382698</c:v>
                </c:pt>
                <c:pt idx="39">
                  <c:v>5.6419070709381138</c:v>
                </c:pt>
                <c:pt idx="40">
                  <c:v>5.4161004022044201</c:v>
                </c:pt>
                <c:pt idx="41">
                  <c:v>5.3752784076841653</c:v>
                </c:pt>
                <c:pt idx="42">
                  <c:v>4.8675344504555822</c:v>
                </c:pt>
                <c:pt idx="43">
                  <c:v>5.3278761687895813</c:v>
                </c:pt>
                <c:pt idx="44">
                  <c:v>4.990432586778736</c:v>
                </c:pt>
                <c:pt idx="45">
                  <c:v>5.2832037287379885</c:v>
                </c:pt>
                <c:pt idx="46">
                  <c:v>5.3132059790417872</c:v>
                </c:pt>
                <c:pt idx="47">
                  <c:v>5.0751738152338266</c:v>
                </c:pt>
                <c:pt idx="48">
                  <c:v>5.1984970312658261</c:v>
                </c:pt>
                <c:pt idx="49">
                  <c:v>5.4161004022044201</c:v>
                </c:pt>
                <c:pt idx="50">
                  <c:v>6.0330862217988015</c:v>
                </c:pt>
                <c:pt idx="51">
                  <c:v>6.0913098820776979</c:v>
                </c:pt>
                <c:pt idx="52">
                  <c:v>5.5012582105447274</c:v>
                </c:pt>
                <c:pt idx="53">
                  <c:v>5.5721540321777647</c:v>
                </c:pt>
                <c:pt idx="54">
                  <c:v>4.7706846244656651</c:v>
                </c:pt>
                <c:pt idx="55">
                  <c:v>4.9698132995760007</c:v>
                </c:pt>
                <c:pt idx="56">
                  <c:v>4.9698132995760007</c:v>
                </c:pt>
                <c:pt idx="57">
                  <c:v>5.2364419628299492</c:v>
                </c:pt>
                <c:pt idx="58">
                  <c:v>4.5108595065168497</c:v>
                </c:pt>
                <c:pt idx="59">
                  <c:v>5.7365722974791922</c:v>
                </c:pt>
                <c:pt idx="60">
                  <c:v>5.4205349992722862</c:v>
                </c:pt>
                <c:pt idx="61">
                  <c:v>5.5373342670185366</c:v>
                </c:pt>
                <c:pt idx="62">
                  <c:v>5.9532433342877846</c:v>
                </c:pt>
                <c:pt idx="63">
                  <c:v>5.7620513827801769</c:v>
                </c:pt>
                <c:pt idx="64">
                  <c:v>5.7620513827801769</c:v>
                </c:pt>
                <c:pt idx="65">
                  <c:v>5.1984970312658261</c:v>
                </c:pt>
                <c:pt idx="66">
                  <c:v>5.1532915944977793</c:v>
                </c:pt>
                <c:pt idx="67">
                  <c:v>5.5134287461649825</c:v>
                </c:pt>
                <c:pt idx="68">
                  <c:v>5.5683445037610966</c:v>
                </c:pt>
                <c:pt idx="69">
                  <c:v>5.3423342519648109</c:v>
                </c:pt>
                <c:pt idx="70">
                  <c:v>5.3033049080590757</c:v>
                </c:pt>
                <c:pt idx="71">
                  <c:v>5.7462031905401529</c:v>
                </c:pt>
                <c:pt idx="72">
                  <c:v>4.9698132995760007</c:v>
                </c:pt>
                <c:pt idx="73">
                  <c:v>5.3278761687895813</c:v>
                </c:pt>
                <c:pt idx="74">
                  <c:v>5.7037824746562009</c:v>
                </c:pt>
                <c:pt idx="75">
                  <c:v>5.6204008657171496</c:v>
                </c:pt>
                <c:pt idx="76">
                  <c:v>5.6903594543240601</c:v>
                </c:pt>
                <c:pt idx="77">
                  <c:v>5.6383546693337454</c:v>
                </c:pt>
                <c:pt idx="78">
                  <c:v>5.8141305318250662</c:v>
                </c:pt>
                <c:pt idx="79">
                  <c:v>3.784189633918261</c:v>
                </c:pt>
                <c:pt idx="80">
                  <c:v>5.2729995585637468</c:v>
                </c:pt>
                <c:pt idx="81">
                  <c:v>4.9487598903781684</c:v>
                </c:pt>
                <c:pt idx="82">
                  <c:v>4.8751973232011512</c:v>
                </c:pt>
                <c:pt idx="83">
                  <c:v>5.9135030056382698</c:v>
                </c:pt>
                <c:pt idx="84">
                  <c:v>5.4806389233419912</c:v>
                </c:pt>
                <c:pt idx="85">
                  <c:v>5.389071729816501</c:v>
                </c:pt>
                <c:pt idx="86">
                  <c:v>6.0520891689244172</c:v>
                </c:pt>
                <c:pt idx="87">
                  <c:v>6.1114673395026786</c:v>
                </c:pt>
                <c:pt idx="88">
                  <c:v>5.955837369464831</c:v>
                </c:pt>
                <c:pt idx="89">
                  <c:v>6.300785794663244</c:v>
                </c:pt>
                <c:pt idx="90">
                  <c:v>6.7190131543852596</c:v>
                </c:pt>
                <c:pt idx="91">
                  <c:v>4.1743872698956368</c:v>
                </c:pt>
                <c:pt idx="92">
                  <c:v>4.7957905455967413</c:v>
                </c:pt>
                <c:pt idx="93">
                  <c:v>5.5373342670185366</c:v>
                </c:pt>
                <c:pt idx="94">
                  <c:v>4.7535901911063645</c:v>
                </c:pt>
                <c:pt idx="95">
                  <c:v>5.8805329864007003</c:v>
                </c:pt>
                <c:pt idx="96">
                  <c:v>5.2470240721604862</c:v>
                </c:pt>
                <c:pt idx="97">
                  <c:v>4.6821312271242199</c:v>
                </c:pt>
                <c:pt idx="98">
                  <c:v>5.1647859739235145</c:v>
                </c:pt>
                <c:pt idx="99">
                  <c:v>5.3659760150218512</c:v>
                </c:pt>
                <c:pt idx="100">
                  <c:v>5.6970934865054046</c:v>
                </c:pt>
                <c:pt idx="101">
                  <c:v>5.7868973813667077</c:v>
                </c:pt>
                <c:pt idx="102">
                  <c:v>5.3752784076841653</c:v>
                </c:pt>
                <c:pt idx="103">
                  <c:v>5.1059454739005803</c:v>
                </c:pt>
                <c:pt idx="104">
                  <c:v>5.43372200355424</c:v>
                </c:pt>
                <c:pt idx="105">
                  <c:v>5.5721540321777647</c:v>
                </c:pt>
                <c:pt idx="106">
                  <c:v>5.0434251169192468</c:v>
                </c:pt>
                <c:pt idx="107">
                  <c:v>5.4595855141441589</c:v>
                </c:pt>
                <c:pt idx="108">
                  <c:v>5.4889377261566867</c:v>
                </c:pt>
                <c:pt idx="109">
                  <c:v>5.7104270173748697</c:v>
                </c:pt>
                <c:pt idx="110">
                  <c:v>5.9107966440405271</c:v>
                </c:pt>
                <c:pt idx="111">
                  <c:v>5.7868973813667077</c:v>
                </c:pt>
                <c:pt idx="112">
                  <c:v>6.1944053911046719</c:v>
                </c:pt>
                <c:pt idx="113">
                  <c:v>5.4293456289544411</c:v>
                </c:pt>
                <c:pt idx="114">
                  <c:v>5.5490760848952201</c:v>
                </c:pt>
                <c:pt idx="115">
                  <c:v>5.5174528964647074</c:v>
                </c:pt>
                <c:pt idx="116">
                  <c:v>5.7104270173748697</c:v>
                </c:pt>
                <c:pt idx="117">
                  <c:v>5.7104270173748697</c:v>
                </c:pt>
                <c:pt idx="118">
                  <c:v>5.4930614433405482</c:v>
                </c:pt>
                <c:pt idx="119">
                  <c:v>5.4510384535657002</c:v>
                </c:pt>
                <c:pt idx="120">
                  <c:v>5.4380793089231956</c:v>
                </c:pt>
                <c:pt idx="121">
                  <c:v>5.6489742381612063</c:v>
                </c:pt>
                <c:pt idx="122">
                  <c:v>5.8377304471659395</c:v>
                </c:pt>
                <c:pt idx="123">
                  <c:v>5.8833223884882786</c:v>
                </c:pt>
                <c:pt idx="124">
                  <c:v>5.8916442118257715</c:v>
                </c:pt>
                <c:pt idx="125">
                  <c:v>5.602118820879701</c:v>
                </c:pt>
                <c:pt idx="126">
                  <c:v>5.0304379213924353</c:v>
                </c:pt>
                <c:pt idx="127">
                  <c:v>5.4424177105217932</c:v>
                </c:pt>
                <c:pt idx="128">
                  <c:v>5.0937502008067623</c:v>
                </c:pt>
                <c:pt idx="129">
                  <c:v>5.6058020662959978</c:v>
                </c:pt>
                <c:pt idx="130">
                  <c:v>5.5174528964647074</c:v>
                </c:pt>
              </c:numCache>
            </c:numRef>
          </c:xVal>
          <c:yVal>
            <c:numRef>
              <c:f>logaritmoi!$W$25:$W$155</c:f>
              <c:numCache>
                <c:formatCode>General</c:formatCode>
                <c:ptCount val="131"/>
                <c:pt idx="0">
                  <c:v>5.0711934516773072</c:v>
                </c:pt>
                <c:pt idx="1">
                  <c:v>5.0754958451358361</c:v>
                </c:pt>
                <c:pt idx="2">
                  <c:v>5.079798238594365</c:v>
                </c:pt>
                <c:pt idx="3">
                  <c:v>5.0841006320528939</c:v>
                </c:pt>
                <c:pt idx="4">
                  <c:v>5.0884030255114228</c:v>
                </c:pt>
                <c:pt idx="5">
                  <c:v>5.0927054189699517</c:v>
                </c:pt>
                <c:pt idx="6">
                  <c:v>5.0970078124284797</c:v>
                </c:pt>
                <c:pt idx="7">
                  <c:v>5.1013102058870086</c:v>
                </c:pt>
                <c:pt idx="8">
                  <c:v>5.1056125993455375</c:v>
                </c:pt>
                <c:pt idx="9">
                  <c:v>5.1099149928040664</c:v>
                </c:pt>
                <c:pt idx="10">
                  <c:v>5.1142173862625953</c:v>
                </c:pt>
                <c:pt idx="11">
                  <c:v>5.1185197797211242</c:v>
                </c:pt>
                <c:pt idx="12">
                  <c:v>5.122822173179653</c:v>
                </c:pt>
                <c:pt idx="13">
                  <c:v>5.1271245666381819</c:v>
                </c:pt>
                <c:pt idx="14">
                  <c:v>5.1314269600967108</c:v>
                </c:pt>
                <c:pt idx="15">
                  <c:v>5.1357293535552397</c:v>
                </c:pt>
                <c:pt idx="16">
                  <c:v>5.1400317470137686</c:v>
                </c:pt>
                <c:pt idx="17">
                  <c:v>5.1443341404722975</c:v>
                </c:pt>
                <c:pt idx="18">
                  <c:v>5.1486365339308264</c:v>
                </c:pt>
                <c:pt idx="19">
                  <c:v>5.1529389273893553</c:v>
                </c:pt>
                <c:pt idx="20">
                  <c:v>5.1572413208478842</c:v>
                </c:pt>
                <c:pt idx="21">
                  <c:v>5.1615437143064122</c:v>
                </c:pt>
                <c:pt idx="22">
                  <c:v>5.1658461077649411</c:v>
                </c:pt>
                <c:pt idx="23">
                  <c:v>5.17014850122347</c:v>
                </c:pt>
                <c:pt idx="24">
                  <c:v>5.1744508946819989</c:v>
                </c:pt>
                <c:pt idx="25">
                  <c:v>5.1787532881405278</c:v>
                </c:pt>
                <c:pt idx="26">
                  <c:v>5.1830556815990567</c:v>
                </c:pt>
                <c:pt idx="27">
                  <c:v>5.1873580750575856</c:v>
                </c:pt>
                <c:pt idx="28">
                  <c:v>5.1916604685161145</c:v>
                </c:pt>
                <c:pt idx="29">
                  <c:v>5.1959628619746434</c:v>
                </c:pt>
                <c:pt idx="30">
                  <c:v>5.2002652554331723</c:v>
                </c:pt>
                <c:pt idx="31">
                  <c:v>5.2045676488917012</c:v>
                </c:pt>
                <c:pt idx="32">
                  <c:v>5.2088700423502301</c:v>
                </c:pt>
                <c:pt idx="33">
                  <c:v>5.213172435808759</c:v>
                </c:pt>
                <c:pt idx="34">
                  <c:v>5.217474829267287</c:v>
                </c:pt>
                <c:pt idx="35">
                  <c:v>5.2217772227258159</c:v>
                </c:pt>
                <c:pt idx="36">
                  <c:v>5.2260796161843448</c:v>
                </c:pt>
                <c:pt idx="37">
                  <c:v>5.2303820096428737</c:v>
                </c:pt>
                <c:pt idx="38">
                  <c:v>5.2346844031014026</c:v>
                </c:pt>
                <c:pt idx="39">
                  <c:v>5.2389867965599315</c:v>
                </c:pt>
                <c:pt idx="40">
                  <c:v>5.2432891900184604</c:v>
                </c:pt>
                <c:pt idx="41">
                  <c:v>5.2475915834769893</c:v>
                </c:pt>
                <c:pt idx="42">
                  <c:v>5.2518939769355182</c:v>
                </c:pt>
                <c:pt idx="43">
                  <c:v>5.2561963703940471</c:v>
                </c:pt>
                <c:pt idx="44">
                  <c:v>5.260498763852576</c:v>
                </c:pt>
                <c:pt idx="45">
                  <c:v>5.2648011573111049</c:v>
                </c:pt>
                <c:pt idx="46">
                  <c:v>5.2691035507696338</c:v>
                </c:pt>
                <c:pt idx="47">
                  <c:v>5.2734059442281627</c:v>
                </c:pt>
                <c:pt idx="48">
                  <c:v>5.2777083376866916</c:v>
                </c:pt>
                <c:pt idx="49">
                  <c:v>5.2820107311452196</c:v>
                </c:pt>
                <c:pt idx="50">
                  <c:v>5.2863131246037485</c:v>
                </c:pt>
                <c:pt idx="51">
                  <c:v>5.2906155180622774</c:v>
                </c:pt>
                <c:pt idx="52">
                  <c:v>5.2949179115208063</c:v>
                </c:pt>
                <c:pt idx="53">
                  <c:v>5.2992203049793352</c:v>
                </c:pt>
                <c:pt idx="54">
                  <c:v>5.3035226984378641</c:v>
                </c:pt>
                <c:pt idx="55">
                  <c:v>5.307825091896393</c:v>
                </c:pt>
                <c:pt idx="56">
                  <c:v>5.3121274853549219</c:v>
                </c:pt>
                <c:pt idx="57">
                  <c:v>5.3164298788134507</c:v>
                </c:pt>
                <c:pt idx="58">
                  <c:v>5.3207322722719796</c:v>
                </c:pt>
                <c:pt idx="59">
                  <c:v>5.3250346657305085</c:v>
                </c:pt>
                <c:pt idx="60">
                  <c:v>5.3293370591890374</c:v>
                </c:pt>
                <c:pt idx="61">
                  <c:v>5.3336394526475663</c:v>
                </c:pt>
                <c:pt idx="62">
                  <c:v>5.3379418461060943</c:v>
                </c:pt>
                <c:pt idx="63">
                  <c:v>5.3422442395646232</c:v>
                </c:pt>
                <c:pt idx="64">
                  <c:v>5.3465466330231521</c:v>
                </c:pt>
                <c:pt idx="65">
                  <c:v>5.350849026481681</c:v>
                </c:pt>
                <c:pt idx="66">
                  <c:v>5.3551514199402099</c:v>
                </c:pt>
                <c:pt idx="67">
                  <c:v>5.3594538133987388</c:v>
                </c:pt>
                <c:pt idx="68">
                  <c:v>5.3637562068572677</c:v>
                </c:pt>
                <c:pt idx="69">
                  <c:v>5.3680586003157966</c:v>
                </c:pt>
                <c:pt idx="70">
                  <c:v>5.3723609937743255</c:v>
                </c:pt>
                <c:pt idx="71">
                  <c:v>5.3766633872328544</c:v>
                </c:pt>
                <c:pt idx="72">
                  <c:v>5.3809657806913833</c:v>
                </c:pt>
                <c:pt idx="73">
                  <c:v>5.3852681741499122</c:v>
                </c:pt>
                <c:pt idx="74">
                  <c:v>5.3895705676084411</c:v>
                </c:pt>
                <c:pt idx="75">
                  <c:v>5.39387296106697</c:v>
                </c:pt>
                <c:pt idx="76">
                  <c:v>5.3981753545254989</c:v>
                </c:pt>
                <c:pt idx="77">
                  <c:v>5.4024777479840269</c:v>
                </c:pt>
                <c:pt idx="78">
                  <c:v>5.4067801414425558</c:v>
                </c:pt>
                <c:pt idx="79">
                  <c:v>5.4110825349010847</c:v>
                </c:pt>
                <c:pt idx="80">
                  <c:v>5.4153849283596136</c:v>
                </c:pt>
                <c:pt idx="81">
                  <c:v>5.4196873218181425</c:v>
                </c:pt>
                <c:pt idx="82">
                  <c:v>5.4239897152766714</c:v>
                </c:pt>
                <c:pt idx="83">
                  <c:v>5.4282921087352003</c:v>
                </c:pt>
                <c:pt idx="84">
                  <c:v>5.4325945021937292</c:v>
                </c:pt>
                <c:pt idx="85">
                  <c:v>5.4368968956522581</c:v>
                </c:pt>
                <c:pt idx="86">
                  <c:v>5.441199289110787</c:v>
                </c:pt>
                <c:pt idx="87">
                  <c:v>5.4455016825693159</c:v>
                </c:pt>
                <c:pt idx="88">
                  <c:v>5.4498040760278448</c:v>
                </c:pt>
                <c:pt idx="89">
                  <c:v>5.4541064694863737</c:v>
                </c:pt>
                <c:pt idx="90">
                  <c:v>5.4584088629449017</c:v>
                </c:pt>
                <c:pt idx="91">
                  <c:v>5.4627112564034306</c:v>
                </c:pt>
                <c:pt idx="92">
                  <c:v>5.4670136498619595</c:v>
                </c:pt>
                <c:pt idx="93">
                  <c:v>5.4713160433204884</c:v>
                </c:pt>
                <c:pt idx="94">
                  <c:v>5.4756184367790173</c:v>
                </c:pt>
                <c:pt idx="95">
                  <c:v>5.4799208302375462</c:v>
                </c:pt>
                <c:pt idx="96">
                  <c:v>5.4842232236960751</c:v>
                </c:pt>
                <c:pt idx="97">
                  <c:v>5.488525617154604</c:v>
                </c:pt>
                <c:pt idx="98">
                  <c:v>5.4928280106131329</c:v>
                </c:pt>
                <c:pt idx="99">
                  <c:v>5.4971304040716618</c:v>
                </c:pt>
                <c:pt idx="100">
                  <c:v>5.5014327975301907</c:v>
                </c:pt>
                <c:pt idx="101">
                  <c:v>5.5057351909887196</c:v>
                </c:pt>
                <c:pt idx="102">
                  <c:v>5.5100375844472484</c:v>
                </c:pt>
                <c:pt idx="103">
                  <c:v>5.5143399779057773</c:v>
                </c:pt>
                <c:pt idx="104">
                  <c:v>5.5186423713643062</c:v>
                </c:pt>
                <c:pt idx="105">
                  <c:v>5.5229447648228343</c:v>
                </c:pt>
                <c:pt idx="106">
                  <c:v>5.5272471582813631</c:v>
                </c:pt>
                <c:pt idx="107">
                  <c:v>5.531549551739892</c:v>
                </c:pt>
                <c:pt idx="108">
                  <c:v>5.5358519451984209</c:v>
                </c:pt>
                <c:pt idx="109">
                  <c:v>5.5401543386569498</c:v>
                </c:pt>
                <c:pt idx="110">
                  <c:v>5.5444567321154787</c:v>
                </c:pt>
                <c:pt idx="111">
                  <c:v>5.5487591255740076</c:v>
                </c:pt>
                <c:pt idx="112">
                  <c:v>5.5530615190325365</c:v>
                </c:pt>
                <c:pt idx="113">
                  <c:v>5.5573639124910654</c:v>
                </c:pt>
                <c:pt idx="114">
                  <c:v>5.5616663059495943</c:v>
                </c:pt>
                <c:pt idx="115">
                  <c:v>5.5659686994081232</c:v>
                </c:pt>
                <c:pt idx="116">
                  <c:v>5.5702710928666521</c:v>
                </c:pt>
                <c:pt idx="117">
                  <c:v>5.574573486325181</c:v>
                </c:pt>
                <c:pt idx="118">
                  <c:v>5.578875879783709</c:v>
                </c:pt>
                <c:pt idx="119">
                  <c:v>5.5831782732422379</c:v>
                </c:pt>
                <c:pt idx="120">
                  <c:v>5.5874806667007668</c:v>
                </c:pt>
                <c:pt idx="121">
                  <c:v>5.5917830601592957</c:v>
                </c:pt>
                <c:pt idx="122">
                  <c:v>5.5960854536178246</c:v>
                </c:pt>
                <c:pt idx="123">
                  <c:v>5.6003878470763535</c:v>
                </c:pt>
                <c:pt idx="124">
                  <c:v>5.6046902405348824</c:v>
                </c:pt>
                <c:pt idx="125">
                  <c:v>5.6089926339934113</c:v>
                </c:pt>
                <c:pt idx="126">
                  <c:v>5.6132950274519402</c:v>
                </c:pt>
                <c:pt idx="127">
                  <c:v>5.6175974209104691</c:v>
                </c:pt>
                <c:pt idx="128">
                  <c:v>5.621899814368998</c:v>
                </c:pt>
                <c:pt idx="129">
                  <c:v>5.6262022078275269</c:v>
                </c:pt>
                <c:pt idx="130">
                  <c:v>5.6305046012860558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015232"/>
        <c:axId val="394860736"/>
      </c:scatterChart>
      <c:valAx>
        <c:axId val="399015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5,4510384535657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94860736"/>
        <c:crosses val="autoZero"/>
        <c:crossBetween val="midCat"/>
      </c:valAx>
      <c:valAx>
        <c:axId val="394860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1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990152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Normal Probability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logaritmoi!$AA$25:$AA$155</c:f>
              <c:numCache>
                <c:formatCode>General</c:formatCode>
                <c:ptCount val="131"/>
                <c:pt idx="0">
                  <c:v>0.37878787878787878</c:v>
                </c:pt>
                <c:pt idx="1">
                  <c:v>1.1363636363636362</c:v>
                </c:pt>
                <c:pt idx="2">
                  <c:v>1.893939393939394</c:v>
                </c:pt>
                <c:pt idx="3">
                  <c:v>2.6515151515151514</c:v>
                </c:pt>
                <c:pt idx="4">
                  <c:v>3.4090909090909092</c:v>
                </c:pt>
                <c:pt idx="5">
                  <c:v>4.166666666666667</c:v>
                </c:pt>
                <c:pt idx="6">
                  <c:v>4.9242424242424239</c:v>
                </c:pt>
                <c:pt idx="7">
                  <c:v>5.6818181818181817</c:v>
                </c:pt>
                <c:pt idx="8">
                  <c:v>6.4393939393939394</c:v>
                </c:pt>
                <c:pt idx="9">
                  <c:v>7.1969696969696972</c:v>
                </c:pt>
                <c:pt idx="10">
                  <c:v>7.954545454545455</c:v>
                </c:pt>
                <c:pt idx="11">
                  <c:v>8.7121212121212128</c:v>
                </c:pt>
                <c:pt idx="12">
                  <c:v>9.4696969696969688</c:v>
                </c:pt>
                <c:pt idx="13">
                  <c:v>10.227272727272727</c:v>
                </c:pt>
                <c:pt idx="14">
                  <c:v>10.984848484848484</c:v>
                </c:pt>
                <c:pt idx="15">
                  <c:v>11.742424242424242</c:v>
                </c:pt>
                <c:pt idx="16">
                  <c:v>12.5</c:v>
                </c:pt>
                <c:pt idx="17">
                  <c:v>13.257575757575758</c:v>
                </c:pt>
                <c:pt idx="18">
                  <c:v>14.015151515151516</c:v>
                </c:pt>
                <c:pt idx="19">
                  <c:v>14.772727272727273</c:v>
                </c:pt>
                <c:pt idx="20">
                  <c:v>15.530303030303031</c:v>
                </c:pt>
                <c:pt idx="21">
                  <c:v>16.287878787878785</c:v>
                </c:pt>
                <c:pt idx="22">
                  <c:v>17.045454545454547</c:v>
                </c:pt>
                <c:pt idx="23">
                  <c:v>17.803030303030305</c:v>
                </c:pt>
                <c:pt idx="24">
                  <c:v>18.560606060606059</c:v>
                </c:pt>
                <c:pt idx="25">
                  <c:v>19.318181818181817</c:v>
                </c:pt>
                <c:pt idx="26">
                  <c:v>20.075757575757574</c:v>
                </c:pt>
                <c:pt idx="27">
                  <c:v>20.833333333333332</c:v>
                </c:pt>
                <c:pt idx="28">
                  <c:v>21.59090909090909</c:v>
                </c:pt>
                <c:pt idx="29">
                  <c:v>22.348484848484848</c:v>
                </c:pt>
                <c:pt idx="30">
                  <c:v>23.106060606060606</c:v>
                </c:pt>
                <c:pt idx="31">
                  <c:v>23.863636363636363</c:v>
                </c:pt>
                <c:pt idx="32">
                  <c:v>24.621212121212121</c:v>
                </c:pt>
                <c:pt idx="33">
                  <c:v>25.378787878787879</c:v>
                </c:pt>
                <c:pt idx="34">
                  <c:v>26.136363636363637</c:v>
                </c:pt>
                <c:pt idx="35">
                  <c:v>26.893939393939394</c:v>
                </c:pt>
                <c:pt idx="36">
                  <c:v>27.651515151515152</c:v>
                </c:pt>
                <c:pt idx="37">
                  <c:v>28.40909090909091</c:v>
                </c:pt>
                <c:pt idx="38">
                  <c:v>29.166666666666668</c:v>
                </c:pt>
                <c:pt idx="39">
                  <c:v>29.924242424242426</c:v>
                </c:pt>
                <c:pt idx="40">
                  <c:v>30.681818181818183</c:v>
                </c:pt>
                <c:pt idx="41">
                  <c:v>31.439393939393938</c:v>
                </c:pt>
                <c:pt idx="42">
                  <c:v>32.196969696969695</c:v>
                </c:pt>
                <c:pt idx="43">
                  <c:v>32.954545454545453</c:v>
                </c:pt>
                <c:pt idx="44">
                  <c:v>33.712121212121211</c:v>
                </c:pt>
                <c:pt idx="45">
                  <c:v>34.469696969696969</c:v>
                </c:pt>
                <c:pt idx="46">
                  <c:v>35.227272727272727</c:v>
                </c:pt>
                <c:pt idx="47">
                  <c:v>35.984848484848484</c:v>
                </c:pt>
                <c:pt idx="48">
                  <c:v>36.742424242424235</c:v>
                </c:pt>
                <c:pt idx="49">
                  <c:v>37.499999999999993</c:v>
                </c:pt>
                <c:pt idx="50">
                  <c:v>38.257575757575751</c:v>
                </c:pt>
                <c:pt idx="51">
                  <c:v>39.015151515151508</c:v>
                </c:pt>
                <c:pt idx="52">
                  <c:v>39.772727272727266</c:v>
                </c:pt>
                <c:pt idx="53">
                  <c:v>40.530303030303024</c:v>
                </c:pt>
                <c:pt idx="54">
                  <c:v>41.287878787878782</c:v>
                </c:pt>
                <c:pt idx="55">
                  <c:v>42.04545454545454</c:v>
                </c:pt>
                <c:pt idx="56">
                  <c:v>42.803030303030297</c:v>
                </c:pt>
                <c:pt idx="57">
                  <c:v>43.560606060606055</c:v>
                </c:pt>
                <c:pt idx="58">
                  <c:v>44.318181818181813</c:v>
                </c:pt>
                <c:pt idx="59">
                  <c:v>45.075757575757571</c:v>
                </c:pt>
                <c:pt idx="60">
                  <c:v>45.833333333333329</c:v>
                </c:pt>
                <c:pt idx="61">
                  <c:v>46.590909090909086</c:v>
                </c:pt>
                <c:pt idx="62">
                  <c:v>47.348484848484844</c:v>
                </c:pt>
                <c:pt idx="63">
                  <c:v>48.106060606060602</c:v>
                </c:pt>
                <c:pt idx="64">
                  <c:v>48.86363636363636</c:v>
                </c:pt>
                <c:pt idx="65">
                  <c:v>49.621212121212118</c:v>
                </c:pt>
                <c:pt idx="66">
                  <c:v>50.378787878787875</c:v>
                </c:pt>
                <c:pt idx="67">
                  <c:v>51.136363636363633</c:v>
                </c:pt>
                <c:pt idx="68">
                  <c:v>51.893939393939391</c:v>
                </c:pt>
                <c:pt idx="69">
                  <c:v>52.651515151515149</c:v>
                </c:pt>
                <c:pt idx="70">
                  <c:v>53.409090909090907</c:v>
                </c:pt>
                <c:pt idx="71">
                  <c:v>54.166666666666664</c:v>
                </c:pt>
                <c:pt idx="72">
                  <c:v>54.924242424242422</c:v>
                </c:pt>
                <c:pt idx="73">
                  <c:v>55.68181818181818</c:v>
                </c:pt>
                <c:pt idx="74">
                  <c:v>56.439393939393938</c:v>
                </c:pt>
                <c:pt idx="75">
                  <c:v>57.196969696969695</c:v>
                </c:pt>
                <c:pt idx="76">
                  <c:v>57.954545454545453</c:v>
                </c:pt>
                <c:pt idx="77">
                  <c:v>58.712121212121211</c:v>
                </c:pt>
                <c:pt idx="78">
                  <c:v>59.469696969696969</c:v>
                </c:pt>
                <c:pt idx="79">
                  <c:v>60.227272727272727</c:v>
                </c:pt>
                <c:pt idx="80">
                  <c:v>60.984848484848484</c:v>
                </c:pt>
                <c:pt idx="81">
                  <c:v>61.742424242424235</c:v>
                </c:pt>
                <c:pt idx="82">
                  <c:v>62.499999999999993</c:v>
                </c:pt>
                <c:pt idx="83">
                  <c:v>63.257575757575751</c:v>
                </c:pt>
                <c:pt idx="84">
                  <c:v>64.015151515151516</c:v>
                </c:pt>
                <c:pt idx="85">
                  <c:v>64.772727272727266</c:v>
                </c:pt>
                <c:pt idx="86">
                  <c:v>65.530303030303031</c:v>
                </c:pt>
                <c:pt idx="87">
                  <c:v>66.287878787878782</c:v>
                </c:pt>
                <c:pt idx="88">
                  <c:v>67.045454545454547</c:v>
                </c:pt>
                <c:pt idx="89">
                  <c:v>67.803030303030297</c:v>
                </c:pt>
                <c:pt idx="90">
                  <c:v>68.560606060606062</c:v>
                </c:pt>
                <c:pt idx="91">
                  <c:v>69.318181818181813</c:v>
                </c:pt>
                <c:pt idx="92">
                  <c:v>70.075757575757578</c:v>
                </c:pt>
                <c:pt idx="93">
                  <c:v>70.833333333333329</c:v>
                </c:pt>
                <c:pt idx="94">
                  <c:v>71.590909090909093</c:v>
                </c:pt>
                <c:pt idx="95">
                  <c:v>72.348484848484844</c:v>
                </c:pt>
                <c:pt idx="96">
                  <c:v>73.106060606060595</c:v>
                </c:pt>
                <c:pt idx="97">
                  <c:v>73.86363636363636</c:v>
                </c:pt>
                <c:pt idx="98">
                  <c:v>74.62121212121211</c:v>
                </c:pt>
                <c:pt idx="99">
                  <c:v>75.378787878787875</c:v>
                </c:pt>
                <c:pt idx="100">
                  <c:v>76.136363636363626</c:v>
                </c:pt>
                <c:pt idx="101">
                  <c:v>76.893939393939391</c:v>
                </c:pt>
                <c:pt idx="102">
                  <c:v>77.651515151515142</c:v>
                </c:pt>
                <c:pt idx="103">
                  <c:v>78.409090909090907</c:v>
                </c:pt>
                <c:pt idx="104">
                  <c:v>79.166666666666657</c:v>
                </c:pt>
                <c:pt idx="105">
                  <c:v>79.924242424242422</c:v>
                </c:pt>
                <c:pt idx="106">
                  <c:v>80.681818181818173</c:v>
                </c:pt>
                <c:pt idx="107">
                  <c:v>81.439393939393938</c:v>
                </c:pt>
                <c:pt idx="108">
                  <c:v>82.196969696969688</c:v>
                </c:pt>
                <c:pt idx="109">
                  <c:v>82.954545454545453</c:v>
                </c:pt>
                <c:pt idx="110">
                  <c:v>83.712121212121204</c:v>
                </c:pt>
                <c:pt idx="111">
                  <c:v>84.469696969696969</c:v>
                </c:pt>
                <c:pt idx="112">
                  <c:v>85.22727272727272</c:v>
                </c:pt>
                <c:pt idx="113">
                  <c:v>85.984848484848484</c:v>
                </c:pt>
                <c:pt idx="114">
                  <c:v>86.742424242424235</c:v>
                </c:pt>
                <c:pt idx="115">
                  <c:v>87.5</c:v>
                </c:pt>
                <c:pt idx="116">
                  <c:v>88.257575757575751</c:v>
                </c:pt>
                <c:pt idx="117">
                  <c:v>89.015151515151516</c:v>
                </c:pt>
                <c:pt idx="118">
                  <c:v>89.772727272727266</c:v>
                </c:pt>
                <c:pt idx="119">
                  <c:v>90.530303030303031</c:v>
                </c:pt>
                <c:pt idx="120">
                  <c:v>91.287878787878782</c:v>
                </c:pt>
                <c:pt idx="121">
                  <c:v>92.045454545454547</c:v>
                </c:pt>
                <c:pt idx="122">
                  <c:v>92.803030303030297</c:v>
                </c:pt>
                <c:pt idx="123">
                  <c:v>93.560606060606062</c:v>
                </c:pt>
                <c:pt idx="124">
                  <c:v>94.318181818181813</c:v>
                </c:pt>
                <c:pt idx="125">
                  <c:v>95.075757575757578</c:v>
                </c:pt>
                <c:pt idx="126">
                  <c:v>95.833333333333329</c:v>
                </c:pt>
                <c:pt idx="127">
                  <c:v>96.590909090909093</c:v>
                </c:pt>
                <c:pt idx="128">
                  <c:v>97.348484848484844</c:v>
                </c:pt>
                <c:pt idx="129">
                  <c:v>98.106060606060595</c:v>
                </c:pt>
                <c:pt idx="130">
                  <c:v>98.86363636363636</c:v>
                </c:pt>
              </c:numCache>
            </c:numRef>
          </c:xVal>
          <c:yVal>
            <c:numRef>
              <c:f>logaritmoi!$AB$25:$AB$155</c:f>
              <c:numCache>
                <c:formatCode>General</c:formatCode>
                <c:ptCount val="131"/>
                <c:pt idx="0">
                  <c:v>3.784189633918261</c:v>
                </c:pt>
                <c:pt idx="1">
                  <c:v>4.1743872698956368</c:v>
                </c:pt>
                <c:pt idx="2">
                  <c:v>4.219507705176107</c:v>
                </c:pt>
                <c:pt idx="3">
                  <c:v>4.5108595065168497</c:v>
                </c:pt>
                <c:pt idx="4">
                  <c:v>4.6443908991413725</c:v>
                </c:pt>
                <c:pt idx="5">
                  <c:v>4.6634390941120669</c:v>
                </c:pt>
                <c:pt idx="6">
                  <c:v>4.6821312271242199</c:v>
                </c:pt>
                <c:pt idx="7">
                  <c:v>4.7535901911063645</c:v>
                </c:pt>
                <c:pt idx="8">
                  <c:v>4.7621739347977563</c:v>
                </c:pt>
                <c:pt idx="9">
                  <c:v>4.7706846244656651</c:v>
                </c:pt>
                <c:pt idx="10">
                  <c:v>4.7957905455967413</c:v>
                </c:pt>
                <c:pt idx="11">
                  <c:v>4.8040210447332568</c:v>
                </c:pt>
                <c:pt idx="12">
                  <c:v>4.8121843553724171</c:v>
                </c:pt>
                <c:pt idx="13">
                  <c:v>4.8675344504555822</c:v>
                </c:pt>
                <c:pt idx="14">
                  <c:v>4.8675344504555822</c:v>
                </c:pt>
                <c:pt idx="15">
                  <c:v>4.8751973232011512</c:v>
                </c:pt>
                <c:pt idx="16">
                  <c:v>4.8903491282217537</c:v>
                </c:pt>
                <c:pt idx="17">
                  <c:v>4.9126548857360524</c:v>
                </c:pt>
                <c:pt idx="18">
                  <c:v>4.9344739331306915</c:v>
                </c:pt>
                <c:pt idx="19">
                  <c:v>4.9487598903781684</c:v>
                </c:pt>
                <c:pt idx="20">
                  <c:v>4.9698132995760007</c:v>
                </c:pt>
                <c:pt idx="21">
                  <c:v>4.9698132995760007</c:v>
                </c:pt>
                <c:pt idx="22">
                  <c:v>4.9698132995760007</c:v>
                </c:pt>
                <c:pt idx="23">
                  <c:v>4.9767337424205742</c:v>
                </c:pt>
                <c:pt idx="24">
                  <c:v>4.990432586778736</c:v>
                </c:pt>
                <c:pt idx="25">
                  <c:v>5.0039463059454592</c:v>
                </c:pt>
                <c:pt idx="26">
                  <c:v>5.0106352940962555</c:v>
                </c:pt>
                <c:pt idx="27">
                  <c:v>5.0304379213924353</c:v>
                </c:pt>
                <c:pt idx="28">
                  <c:v>5.0434251169192468</c:v>
                </c:pt>
                <c:pt idx="29">
                  <c:v>5.0498560072495371</c:v>
                </c:pt>
                <c:pt idx="30">
                  <c:v>5.0562458053483077</c:v>
                </c:pt>
                <c:pt idx="31">
                  <c:v>5.0689042022202315</c:v>
                </c:pt>
                <c:pt idx="32">
                  <c:v>5.0751738152338266</c:v>
                </c:pt>
                <c:pt idx="33">
                  <c:v>5.0937502008067623</c:v>
                </c:pt>
                <c:pt idx="34">
                  <c:v>5.0937502008067623</c:v>
                </c:pt>
                <c:pt idx="35">
                  <c:v>5.0937502008067623</c:v>
                </c:pt>
                <c:pt idx="36">
                  <c:v>5.1059454739005803</c:v>
                </c:pt>
                <c:pt idx="37">
                  <c:v>5.1239639794032588</c:v>
                </c:pt>
                <c:pt idx="38">
                  <c:v>5.1357984370502621</c:v>
                </c:pt>
                <c:pt idx="39">
                  <c:v>5.1416635565026603</c:v>
                </c:pt>
                <c:pt idx="40">
                  <c:v>5.1532915944977793</c:v>
                </c:pt>
                <c:pt idx="41">
                  <c:v>5.1590552992145291</c:v>
                </c:pt>
                <c:pt idx="42">
                  <c:v>5.1647859739235145</c:v>
                </c:pt>
                <c:pt idx="43">
                  <c:v>5.1647859739235145</c:v>
                </c:pt>
                <c:pt idx="44">
                  <c:v>5.1647859739235145</c:v>
                </c:pt>
                <c:pt idx="45">
                  <c:v>5.1761497325738288</c:v>
                </c:pt>
                <c:pt idx="46">
                  <c:v>5.181783550292085</c:v>
                </c:pt>
                <c:pt idx="47">
                  <c:v>5.181783550292085</c:v>
                </c:pt>
                <c:pt idx="48">
                  <c:v>5.1873858058407549</c:v>
                </c:pt>
                <c:pt idx="49">
                  <c:v>5.1984970312658261</c:v>
                </c:pt>
                <c:pt idx="50">
                  <c:v>5.1984970312658261</c:v>
                </c:pt>
                <c:pt idx="51">
                  <c:v>5.2311086168545868</c:v>
                </c:pt>
                <c:pt idx="52">
                  <c:v>5.2364419628299492</c:v>
                </c:pt>
                <c:pt idx="53">
                  <c:v>5.2470240721604862</c:v>
                </c:pt>
                <c:pt idx="54">
                  <c:v>5.2729995585637468</c:v>
                </c:pt>
                <c:pt idx="55">
                  <c:v>5.2832037287379885</c:v>
                </c:pt>
                <c:pt idx="56">
                  <c:v>5.2832037287379885</c:v>
                </c:pt>
                <c:pt idx="57">
                  <c:v>5.2933048247244923</c:v>
                </c:pt>
                <c:pt idx="58">
                  <c:v>5.3033049080590757</c:v>
                </c:pt>
                <c:pt idx="59">
                  <c:v>5.3132059790417872</c:v>
                </c:pt>
                <c:pt idx="60">
                  <c:v>5.3278761687895813</c:v>
                </c:pt>
                <c:pt idx="61">
                  <c:v>5.3278761687895813</c:v>
                </c:pt>
                <c:pt idx="62">
                  <c:v>5.3327187932653688</c:v>
                </c:pt>
                <c:pt idx="63">
                  <c:v>5.3423342519648109</c:v>
                </c:pt>
                <c:pt idx="64">
                  <c:v>5.3659760150218512</c:v>
                </c:pt>
                <c:pt idx="65">
                  <c:v>5.3752784076841653</c:v>
                </c:pt>
                <c:pt idx="66">
                  <c:v>5.3752784076841653</c:v>
                </c:pt>
                <c:pt idx="67">
                  <c:v>5.3798973535404597</c:v>
                </c:pt>
                <c:pt idx="68">
                  <c:v>5.389071729816501</c:v>
                </c:pt>
                <c:pt idx="69">
                  <c:v>5.4071717714601188</c:v>
                </c:pt>
                <c:pt idx="70">
                  <c:v>5.4161004022044201</c:v>
                </c:pt>
                <c:pt idx="71">
                  <c:v>5.4161004022044201</c:v>
                </c:pt>
                <c:pt idx="72">
                  <c:v>5.4205349992722862</c:v>
                </c:pt>
                <c:pt idx="73">
                  <c:v>5.4249500174814029</c:v>
                </c:pt>
                <c:pt idx="74">
                  <c:v>5.4293456289544411</c:v>
                </c:pt>
                <c:pt idx="75">
                  <c:v>5.43372200355424</c:v>
                </c:pt>
                <c:pt idx="76">
                  <c:v>5.4380793089231956</c:v>
                </c:pt>
                <c:pt idx="77">
                  <c:v>5.4424177105217932</c:v>
                </c:pt>
                <c:pt idx="78">
                  <c:v>5.4510384535657002</c:v>
                </c:pt>
                <c:pt idx="79">
                  <c:v>5.4510384535657002</c:v>
                </c:pt>
                <c:pt idx="80">
                  <c:v>5.4595855141441589</c:v>
                </c:pt>
                <c:pt idx="81">
                  <c:v>5.4806389233419912</c:v>
                </c:pt>
                <c:pt idx="82">
                  <c:v>5.4889377261566867</c:v>
                </c:pt>
                <c:pt idx="83">
                  <c:v>5.4930614433405482</c:v>
                </c:pt>
                <c:pt idx="84">
                  <c:v>5.5012582105447274</c:v>
                </c:pt>
                <c:pt idx="85">
                  <c:v>5.5134287461649825</c:v>
                </c:pt>
                <c:pt idx="86">
                  <c:v>5.5174528964647074</c:v>
                </c:pt>
                <c:pt idx="87">
                  <c:v>5.5174528964647074</c:v>
                </c:pt>
                <c:pt idx="88">
                  <c:v>5.5373342670185366</c:v>
                </c:pt>
                <c:pt idx="89">
                  <c:v>5.5373342670185366</c:v>
                </c:pt>
                <c:pt idx="90">
                  <c:v>5.5490760848952201</c:v>
                </c:pt>
                <c:pt idx="91">
                  <c:v>5.5683445037610966</c:v>
                </c:pt>
                <c:pt idx="92">
                  <c:v>5.5721540321777647</c:v>
                </c:pt>
                <c:pt idx="93">
                  <c:v>5.5721540321777647</c:v>
                </c:pt>
                <c:pt idx="94">
                  <c:v>5.602118820879701</c:v>
                </c:pt>
                <c:pt idx="95">
                  <c:v>5.6058020662959978</c:v>
                </c:pt>
                <c:pt idx="96">
                  <c:v>5.6204008657171496</c:v>
                </c:pt>
                <c:pt idx="97">
                  <c:v>5.6383546693337454</c:v>
                </c:pt>
                <c:pt idx="98">
                  <c:v>5.6419070709381138</c:v>
                </c:pt>
                <c:pt idx="99">
                  <c:v>5.6489742381612063</c:v>
                </c:pt>
                <c:pt idx="100">
                  <c:v>5.6801726090170677</c:v>
                </c:pt>
                <c:pt idx="101">
                  <c:v>5.6903594543240601</c:v>
                </c:pt>
                <c:pt idx="102">
                  <c:v>5.6970934865054046</c:v>
                </c:pt>
                <c:pt idx="103">
                  <c:v>5.7037824746562009</c:v>
                </c:pt>
                <c:pt idx="104">
                  <c:v>5.7104270173748697</c:v>
                </c:pt>
                <c:pt idx="105">
                  <c:v>5.7104270173748697</c:v>
                </c:pt>
                <c:pt idx="106">
                  <c:v>5.7104270173748697</c:v>
                </c:pt>
                <c:pt idx="107">
                  <c:v>5.7365722974791922</c:v>
                </c:pt>
                <c:pt idx="108">
                  <c:v>5.7365722974791922</c:v>
                </c:pt>
                <c:pt idx="109">
                  <c:v>5.7462031905401529</c:v>
                </c:pt>
                <c:pt idx="110">
                  <c:v>5.7620513827801769</c:v>
                </c:pt>
                <c:pt idx="111">
                  <c:v>5.7620513827801769</c:v>
                </c:pt>
                <c:pt idx="112">
                  <c:v>5.7868973813667077</c:v>
                </c:pt>
                <c:pt idx="113">
                  <c:v>5.7868973813667077</c:v>
                </c:pt>
                <c:pt idx="114">
                  <c:v>5.8141305318250662</c:v>
                </c:pt>
                <c:pt idx="115">
                  <c:v>5.8348107370626048</c:v>
                </c:pt>
                <c:pt idx="116">
                  <c:v>5.8377304471659395</c:v>
                </c:pt>
                <c:pt idx="117">
                  <c:v>5.8805329864007003</c:v>
                </c:pt>
                <c:pt idx="118">
                  <c:v>5.8833223884882786</c:v>
                </c:pt>
                <c:pt idx="119">
                  <c:v>5.8916442118257715</c:v>
                </c:pt>
                <c:pt idx="120">
                  <c:v>5.9107966440405271</c:v>
                </c:pt>
                <c:pt idx="121">
                  <c:v>5.9135030056382698</c:v>
                </c:pt>
                <c:pt idx="122">
                  <c:v>5.9135030056382698</c:v>
                </c:pt>
                <c:pt idx="123">
                  <c:v>5.9532433342877846</c:v>
                </c:pt>
                <c:pt idx="124">
                  <c:v>5.955837369464831</c:v>
                </c:pt>
                <c:pt idx="125">
                  <c:v>6.0330862217988015</c:v>
                </c:pt>
                <c:pt idx="126">
                  <c:v>6.0520891689244172</c:v>
                </c:pt>
                <c:pt idx="127">
                  <c:v>6.0913098820776979</c:v>
                </c:pt>
                <c:pt idx="128">
                  <c:v>6.1114673395026786</c:v>
                </c:pt>
                <c:pt idx="129">
                  <c:v>6.1944053911046719</c:v>
                </c:pt>
                <c:pt idx="130">
                  <c:v>6.300785794663244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04352"/>
        <c:axId val="146014208"/>
      </c:scatterChart>
      <c:valAx>
        <c:axId val="48804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Sample Percentile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46014208"/>
        <c:crosses val="autoZero"/>
        <c:crossBetween val="midCat"/>
      </c:valAx>
      <c:valAx>
        <c:axId val="1460142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1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88043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loge(y)  Residual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logaritmoi!$B$2:$B$133</c:f>
              <c:numCache>
                <c:formatCode>General</c:formatCode>
                <c:ptCount val="132"/>
                <c:pt idx="0">
                  <c:v>5.4510384535657002</c:v>
                </c:pt>
                <c:pt idx="1">
                  <c:v>4.6634390941120669</c:v>
                </c:pt>
                <c:pt idx="2">
                  <c:v>5.1761497325738288</c:v>
                </c:pt>
                <c:pt idx="3">
                  <c:v>5.1647859739235145</c:v>
                </c:pt>
                <c:pt idx="4">
                  <c:v>5.181783550292085</c:v>
                </c:pt>
                <c:pt idx="5">
                  <c:v>5.1357984370502621</c:v>
                </c:pt>
                <c:pt idx="6">
                  <c:v>5.2933048247244923</c:v>
                </c:pt>
                <c:pt idx="7">
                  <c:v>4.7621739347977563</c:v>
                </c:pt>
                <c:pt idx="8">
                  <c:v>4.8040210447332568</c:v>
                </c:pt>
                <c:pt idx="9">
                  <c:v>4.9126548857360524</c:v>
                </c:pt>
                <c:pt idx="10">
                  <c:v>4.8675344504555822</c:v>
                </c:pt>
                <c:pt idx="11">
                  <c:v>4.219507705176107</c:v>
                </c:pt>
                <c:pt idx="12">
                  <c:v>5.1873858058407549</c:v>
                </c:pt>
                <c:pt idx="13">
                  <c:v>4.6443908991413725</c:v>
                </c:pt>
                <c:pt idx="14">
                  <c:v>4.8903491282217537</c:v>
                </c:pt>
                <c:pt idx="15">
                  <c:v>5.0937502008067623</c:v>
                </c:pt>
                <c:pt idx="16">
                  <c:v>5.1647859739235145</c:v>
                </c:pt>
                <c:pt idx="17">
                  <c:v>5.0937502008067623</c:v>
                </c:pt>
                <c:pt idx="18">
                  <c:v>5.0498560072495371</c:v>
                </c:pt>
                <c:pt idx="19">
                  <c:v>4.8121843553724171</c:v>
                </c:pt>
                <c:pt idx="20">
                  <c:v>4.9767337424205742</c:v>
                </c:pt>
                <c:pt idx="21">
                  <c:v>5.2832037287379885</c:v>
                </c:pt>
                <c:pt idx="22">
                  <c:v>5.2311086168545868</c:v>
                </c:pt>
                <c:pt idx="23">
                  <c:v>4.9344739331306915</c:v>
                </c:pt>
                <c:pt idx="24">
                  <c:v>5.6801726090170677</c:v>
                </c:pt>
                <c:pt idx="25">
                  <c:v>5.0562458053483077</c:v>
                </c:pt>
                <c:pt idx="26">
                  <c:v>5.1239639794032588</c:v>
                </c:pt>
                <c:pt idx="27">
                  <c:v>5.1590552992145291</c:v>
                </c:pt>
                <c:pt idx="28">
                  <c:v>5.8348107370626048</c:v>
                </c:pt>
                <c:pt idx="29">
                  <c:v>5.4249500174814029</c:v>
                </c:pt>
                <c:pt idx="30">
                  <c:v>5.3327187932653688</c:v>
                </c:pt>
                <c:pt idx="31">
                  <c:v>5.0106352940962555</c:v>
                </c:pt>
                <c:pt idx="32">
                  <c:v>5.1416635565026603</c:v>
                </c:pt>
                <c:pt idx="33">
                  <c:v>5.3798973535404597</c:v>
                </c:pt>
                <c:pt idx="34">
                  <c:v>5.0039463059454592</c:v>
                </c:pt>
                <c:pt idx="35">
                  <c:v>5.181783550292085</c:v>
                </c:pt>
                <c:pt idx="36">
                  <c:v>5.4071717714601188</c:v>
                </c:pt>
                <c:pt idx="37">
                  <c:v>5.0689042022202315</c:v>
                </c:pt>
                <c:pt idx="38">
                  <c:v>5.7365722974791922</c:v>
                </c:pt>
                <c:pt idx="39">
                  <c:v>5.9135030056382698</c:v>
                </c:pt>
                <c:pt idx="40">
                  <c:v>5.6419070709381138</c:v>
                </c:pt>
                <c:pt idx="41">
                  <c:v>5.4161004022044201</c:v>
                </c:pt>
                <c:pt idx="42">
                  <c:v>5.3752784076841653</c:v>
                </c:pt>
                <c:pt idx="43">
                  <c:v>4.8675344504555822</c:v>
                </c:pt>
                <c:pt idx="44">
                  <c:v>5.3278761687895813</c:v>
                </c:pt>
                <c:pt idx="45">
                  <c:v>4.990432586778736</c:v>
                </c:pt>
                <c:pt idx="46">
                  <c:v>5.2832037287379885</c:v>
                </c:pt>
                <c:pt idx="47">
                  <c:v>5.3132059790417872</c:v>
                </c:pt>
                <c:pt idx="48">
                  <c:v>5.0751738152338266</c:v>
                </c:pt>
                <c:pt idx="49">
                  <c:v>5.1984970312658261</c:v>
                </c:pt>
                <c:pt idx="50">
                  <c:v>5.4161004022044201</c:v>
                </c:pt>
                <c:pt idx="51">
                  <c:v>6.0330862217988015</c:v>
                </c:pt>
                <c:pt idx="52">
                  <c:v>6.0913098820776979</c:v>
                </c:pt>
                <c:pt idx="53">
                  <c:v>5.5012582105447274</c:v>
                </c:pt>
                <c:pt idx="54">
                  <c:v>5.5721540321777647</c:v>
                </c:pt>
                <c:pt idx="55">
                  <c:v>4.7706846244656651</c:v>
                </c:pt>
                <c:pt idx="56">
                  <c:v>4.9698132995760007</c:v>
                </c:pt>
                <c:pt idx="57">
                  <c:v>4.9698132995760007</c:v>
                </c:pt>
                <c:pt idx="58">
                  <c:v>5.2364419628299492</c:v>
                </c:pt>
                <c:pt idx="59">
                  <c:v>4.5108595065168497</c:v>
                </c:pt>
                <c:pt idx="60">
                  <c:v>5.7365722974791922</c:v>
                </c:pt>
                <c:pt idx="61">
                  <c:v>5.4205349992722862</c:v>
                </c:pt>
                <c:pt idx="62">
                  <c:v>5.5373342670185366</c:v>
                </c:pt>
                <c:pt idx="63">
                  <c:v>5.9532433342877846</c:v>
                </c:pt>
                <c:pt idx="64">
                  <c:v>5.7620513827801769</c:v>
                </c:pt>
                <c:pt idx="65">
                  <c:v>5.7620513827801769</c:v>
                </c:pt>
                <c:pt idx="66">
                  <c:v>5.1984970312658261</c:v>
                </c:pt>
                <c:pt idx="67">
                  <c:v>5.1532915944977793</c:v>
                </c:pt>
                <c:pt idx="68">
                  <c:v>5.5134287461649825</c:v>
                </c:pt>
                <c:pt idx="69">
                  <c:v>5.5683445037610966</c:v>
                </c:pt>
                <c:pt idx="70">
                  <c:v>5.3423342519648109</c:v>
                </c:pt>
                <c:pt idx="71">
                  <c:v>5.3033049080590757</c:v>
                </c:pt>
                <c:pt idx="72">
                  <c:v>5.7462031905401529</c:v>
                </c:pt>
                <c:pt idx="73">
                  <c:v>4.9698132995760007</c:v>
                </c:pt>
                <c:pt idx="74">
                  <c:v>5.3278761687895813</c:v>
                </c:pt>
                <c:pt idx="75">
                  <c:v>5.7037824746562009</c:v>
                </c:pt>
                <c:pt idx="76">
                  <c:v>5.6204008657171496</c:v>
                </c:pt>
                <c:pt idx="77">
                  <c:v>5.6903594543240601</c:v>
                </c:pt>
                <c:pt idx="78">
                  <c:v>5.6383546693337454</c:v>
                </c:pt>
                <c:pt idx="79">
                  <c:v>5.8141305318250662</c:v>
                </c:pt>
                <c:pt idx="80">
                  <c:v>3.784189633918261</c:v>
                </c:pt>
                <c:pt idx="81">
                  <c:v>5.2729995585637468</c:v>
                </c:pt>
                <c:pt idx="82">
                  <c:v>4.9487598903781684</c:v>
                </c:pt>
                <c:pt idx="83">
                  <c:v>4.8751973232011512</c:v>
                </c:pt>
                <c:pt idx="84">
                  <c:v>5.9135030056382698</c:v>
                </c:pt>
                <c:pt idx="85">
                  <c:v>5.4806389233419912</c:v>
                </c:pt>
                <c:pt idx="86">
                  <c:v>5.389071729816501</c:v>
                </c:pt>
                <c:pt idx="87">
                  <c:v>6.0520891689244172</c:v>
                </c:pt>
                <c:pt idx="88">
                  <c:v>6.1114673395026786</c:v>
                </c:pt>
                <c:pt idx="89">
                  <c:v>5.955837369464831</c:v>
                </c:pt>
                <c:pt idx="90">
                  <c:v>6.300785794663244</c:v>
                </c:pt>
                <c:pt idx="91">
                  <c:v>6.7190131543852596</c:v>
                </c:pt>
                <c:pt idx="92">
                  <c:v>4.1743872698956368</c:v>
                </c:pt>
                <c:pt idx="93">
                  <c:v>4.7957905455967413</c:v>
                </c:pt>
                <c:pt idx="94">
                  <c:v>5.5373342670185366</c:v>
                </c:pt>
                <c:pt idx="95">
                  <c:v>4.7535901911063645</c:v>
                </c:pt>
                <c:pt idx="96">
                  <c:v>5.8805329864007003</c:v>
                </c:pt>
                <c:pt idx="97">
                  <c:v>5.2470240721604862</c:v>
                </c:pt>
                <c:pt idx="98">
                  <c:v>4.6821312271242199</c:v>
                </c:pt>
                <c:pt idx="99">
                  <c:v>5.1647859739235145</c:v>
                </c:pt>
                <c:pt idx="100">
                  <c:v>5.3659760150218512</c:v>
                </c:pt>
                <c:pt idx="101">
                  <c:v>5.6970934865054046</c:v>
                </c:pt>
                <c:pt idx="102">
                  <c:v>5.7868973813667077</c:v>
                </c:pt>
                <c:pt idx="103">
                  <c:v>5.3752784076841653</c:v>
                </c:pt>
                <c:pt idx="104">
                  <c:v>5.1059454739005803</c:v>
                </c:pt>
                <c:pt idx="105">
                  <c:v>5.43372200355424</c:v>
                </c:pt>
                <c:pt idx="106">
                  <c:v>5.5721540321777647</c:v>
                </c:pt>
                <c:pt idx="107">
                  <c:v>5.0434251169192468</c:v>
                </c:pt>
                <c:pt idx="108">
                  <c:v>5.4595855141441589</c:v>
                </c:pt>
                <c:pt idx="109">
                  <c:v>5.4889377261566867</c:v>
                </c:pt>
                <c:pt idx="110">
                  <c:v>5.7104270173748697</c:v>
                </c:pt>
                <c:pt idx="111">
                  <c:v>5.9107966440405271</c:v>
                </c:pt>
                <c:pt idx="112">
                  <c:v>5.7868973813667077</c:v>
                </c:pt>
                <c:pt idx="113">
                  <c:v>6.1944053911046719</c:v>
                </c:pt>
                <c:pt idx="114">
                  <c:v>5.4293456289544411</c:v>
                </c:pt>
                <c:pt idx="115">
                  <c:v>5.5490760848952201</c:v>
                </c:pt>
                <c:pt idx="116">
                  <c:v>5.5174528964647074</c:v>
                </c:pt>
                <c:pt idx="117">
                  <c:v>5.7104270173748697</c:v>
                </c:pt>
                <c:pt idx="118">
                  <c:v>5.7104270173748697</c:v>
                </c:pt>
                <c:pt idx="119">
                  <c:v>5.4930614433405482</c:v>
                </c:pt>
                <c:pt idx="120">
                  <c:v>5.4510384535657002</c:v>
                </c:pt>
                <c:pt idx="121">
                  <c:v>5.4380793089231956</c:v>
                </c:pt>
                <c:pt idx="122">
                  <c:v>5.6489742381612063</c:v>
                </c:pt>
                <c:pt idx="123">
                  <c:v>5.8377304471659395</c:v>
                </c:pt>
                <c:pt idx="124">
                  <c:v>5.8833223884882786</c:v>
                </c:pt>
                <c:pt idx="125">
                  <c:v>5.8916442118257715</c:v>
                </c:pt>
                <c:pt idx="126">
                  <c:v>5.602118820879701</c:v>
                </c:pt>
                <c:pt idx="127">
                  <c:v>5.0304379213924353</c:v>
                </c:pt>
                <c:pt idx="128">
                  <c:v>5.4424177105217932</c:v>
                </c:pt>
                <c:pt idx="129">
                  <c:v>5.0937502008067623</c:v>
                </c:pt>
                <c:pt idx="130">
                  <c:v>5.6058020662959978</c:v>
                </c:pt>
                <c:pt idx="131">
                  <c:v>5.5174528964647074</c:v>
                </c:pt>
              </c:numCache>
            </c:numRef>
          </c:xVal>
          <c:yVal>
            <c:numRef>
              <c:f>logaritmoi!$X$25:$X$156</c:f>
              <c:numCache>
                <c:formatCode>General</c:formatCode>
                <c:ptCount val="132"/>
                <c:pt idx="0">
                  <c:v>0.37984500188839299</c:v>
                </c:pt>
                <c:pt idx="1">
                  <c:v>-0.41205675102376915</c:v>
                </c:pt>
                <c:pt idx="2">
                  <c:v>9.6351493979463854E-2</c:v>
                </c:pt>
                <c:pt idx="3">
                  <c:v>8.0685341870620597E-2</c:v>
                </c:pt>
                <c:pt idx="4">
                  <c:v>9.3380524780662277E-2</c:v>
                </c:pt>
                <c:pt idx="5">
                  <c:v>4.3093018080310408E-2</c:v>
                </c:pt>
                <c:pt idx="6">
                  <c:v>0.1962970122960126</c:v>
                </c:pt>
                <c:pt idx="7">
                  <c:v>-0.33913627108925226</c:v>
                </c:pt>
                <c:pt idx="8">
                  <c:v>-0.30159155461228071</c:v>
                </c:pt>
                <c:pt idx="9">
                  <c:v>-0.197260107068014</c:v>
                </c:pt>
                <c:pt idx="10">
                  <c:v>-0.24668293580701306</c:v>
                </c:pt>
                <c:pt idx="11">
                  <c:v>-0.89901207454501719</c:v>
                </c:pt>
                <c:pt idx="12">
                  <c:v>6.4563632661101877E-2</c:v>
                </c:pt>
                <c:pt idx="13">
                  <c:v>-0.48273366749680946</c:v>
                </c:pt>
                <c:pt idx="14">
                  <c:v>-0.24107783187495713</c:v>
                </c:pt>
                <c:pt idx="15">
                  <c:v>-4.1979152748477411E-2</c:v>
                </c:pt>
                <c:pt idx="16">
                  <c:v>2.4754226909745825E-2</c:v>
                </c:pt>
                <c:pt idx="17">
                  <c:v>-5.0583939665535205E-2</c:v>
                </c:pt>
                <c:pt idx="18">
                  <c:v>-9.8780526681289338E-2</c:v>
                </c:pt>
                <c:pt idx="19">
                  <c:v>-0.34075457201693826</c:v>
                </c:pt>
                <c:pt idx="20">
                  <c:v>-0.18050757842731002</c:v>
                </c:pt>
                <c:pt idx="21">
                  <c:v>0.12166001443157626</c:v>
                </c:pt>
                <c:pt idx="22">
                  <c:v>6.5262509089645704E-2</c:v>
                </c:pt>
                <c:pt idx="23">
                  <c:v>-0.23567456809277854</c:v>
                </c:pt>
                <c:pt idx="24">
                  <c:v>0.50572171433506874</c:v>
                </c:pt>
                <c:pt idx="25">
                  <c:v>-0.12250748279222012</c:v>
                </c:pt>
                <c:pt idx="26">
                  <c:v>-5.9091702195797957E-2</c:v>
                </c:pt>
                <c:pt idx="27">
                  <c:v>-2.8302775843056516E-2</c:v>
                </c:pt>
                <c:pt idx="28">
                  <c:v>0.64315026854649027</c:v>
                </c:pt>
                <c:pt idx="29">
                  <c:v>0.22898715550675952</c:v>
                </c:pt>
                <c:pt idx="30">
                  <c:v>0.13245353783219649</c:v>
                </c:pt>
                <c:pt idx="31">
                  <c:v>-0.19393235479544568</c:v>
                </c:pt>
                <c:pt idx="32">
                  <c:v>-6.720648584756983E-2</c:v>
                </c:pt>
                <c:pt idx="33">
                  <c:v>0.16672491773170073</c:v>
                </c:pt>
                <c:pt idx="34">
                  <c:v>-0.21352852332182781</c:v>
                </c:pt>
                <c:pt idx="35">
                  <c:v>-3.9993672433730865E-2</c:v>
                </c:pt>
                <c:pt idx="36">
                  <c:v>0.18109215527577405</c:v>
                </c:pt>
                <c:pt idx="37">
                  <c:v>-0.16147780742264217</c:v>
                </c:pt>
                <c:pt idx="38">
                  <c:v>0.50188789437778958</c:v>
                </c:pt>
                <c:pt idx="39">
                  <c:v>0.67451620907833831</c:v>
                </c:pt>
                <c:pt idx="40">
                  <c:v>0.39861788091965344</c:v>
                </c:pt>
                <c:pt idx="41">
                  <c:v>0.16850881872743084</c:v>
                </c:pt>
                <c:pt idx="42">
                  <c:v>0.12338443074864713</c:v>
                </c:pt>
                <c:pt idx="43">
                  <c:v>-0.38866191993846488</c:v>
                </c:pt>
                <c:pt idx="44">
                  <c:v>6.7377404937005281E-2</c:v>
                </c:pt>
                <c:pt idx="45">
                  <c:v>-0.27436857053236885</c:v>
                </c:pt>
                <c:pt idx="46">
                  <c:v>1.4100177968354721E-2</c:v>
                </c:pt>
                <c:pt idx="47">
                  <c:v>3.9800034813624485E-2</c:v>
                </c:pt>
                <c:pt idx="48">
                  <c:v>-0.20253452245286496</c:v>
                </c:pt>
                <c:pt idx="49">
                  <c:v>-8.3513699879393499E-2</c:v>
                </c:pt>
                <c:pt idx="50">
                  <c:v>0.12978727760067166</c:v>
                </c:pt>
                <c:pt idx="51">
                  <c:v>0.74247070373652413</c:v>
                </c:pt>
                <c:pt idx="52">
                  <c:v>0.79639197055689159</c:v>
                </c:pt>
                <c:pt idx="53">
                  <c:v>0.20203790556539225</c:v>
                </c:pt>
                <c:pt idx="54">
                  <c:v>0.26863133373990067</c:v>
                </c:pt>
                <c:pt idx="55">
                  <c:v>-0.53714046743072785</c:v>
                </c:pt>
                <c:pt idx="56">
                  <c:v>-0.34231418577892114</c:v>
                </c:pt>
                <c:pt idx="57">
                  <c:v>-0.34661657923745004</c:v>
                </c:pt>
                <c:pt idx="58">
                  <c:v>-8.429030944203042E-2</c:v>
                </c:pt>
                <c:pt idx="59">
                  <c:v>-0.81417515921365879</c:v>
                </c:pt>
                <c:pt idx="60">
                  <c:v>0.40723523829015473</c:v>
                </c:pt>
                <c:pt idx="61">
                  <c:v>8.6895546624719877E-2</c:v>
                </c:pt>
                <c:pt idx="62">
                  <c:v>0.19939242091244225</c:v>
                </c:pt>
                <c:pt idx="63">
                  <c:v>0.61099909472316138</c:v>
                </c:pt>
                <c:pt idx="64">
                  <c:v>0.41550474975702478</c:v>
                </c:pt>
                <c:pt idx="65">
                  <c:v>0.41120235629849589</c:v>
                </c:pt>
                <c:pt idx="66">
                  <c:v>-0.15665438867438386</c:v>
                </c:pt>
                <c:pt idx="67">
                  <c:v>-0.20616221890095954</c:v>
                </c:pt>
                <c:pt idx="68">
                  <c:v>0.14967253930771474</c:v>
                </c:pt>
                <c:pt idx="69">
                  <c:v>0.20028590344529995</c:v>
                </c:pt>
                <c:pt idx="70">
                  <c:v>-3.002674180951459E-2</c:v>
                </c:pt>
                <c:pt idx="71">
                  <c:v>-7.335847917377869E-2</c:v>
                </c:pt>
                <c:pt idx="72">
                  <c:v>0.36523740984876962</c:v>
                </c:pt>
                <c:pt idx="73">
                  <c:v>-0.4154548745739115</c:v>
                </c:pt>
                <c:pt idx="74">
                  <c:v>-6.1694398818859852E-2</c:v>
                </c:pt>
                <c:pt idx="75">
                  <c:v>0.30990951358923091</c:v>
                </c:pt>
                <c:pt idx="76">
                  <c:v>0.22222551119165068</c:v>
                </c:pt>
                <c:pt idx="77">
                  <c:v>0.28788170634003318</c:v>
                </c:pt>
                <c:pt idx="78">
                  <c:v>0.2315745278911896</c:v>
                </c:pt>
                <c:pt idx="79">
                  <c:v>0.40304799692398152</c:v>
                </c:pt>
                <c:pt idx="80">
                  <c:v>-1.6311952944413526</c:v>
                </c:pt>
                <c:pt idx="81">
                  <c:v>-0.1466877632543957</c:v>
                </c:pt>
                <c:pt idx="82">
                  <c:v>-0.47522982489850296</c:v>
                </c:pt>
                <c:pt idx="83">
                  <c:v>-0.55309478553404912</c:v>
                </c:pt>
                <c:pt idx="84">
                  <c:v>0.48090850344454061</c:v>
                </c:pt>
                <c:pt idx="85">
                  <c:v>4.3742027689733121E-2</c:v>
                </c:pt>
                <c:pt idx="86">
                  <c:v>-5.212755929428603E-2</c:v>
                </c:pt>
                <c:pt idx="87">
                  <c:v>0.60658748635510129</c:v>
                </c:pt>
                <c:pt idx="88">
                  <c:v>0.66166326347483384</c:v>
                </c:pt>
                <c:pt idx="89">
                  <c:v>0.50173089997845732</c:v>
                </c:pt>
                <c:pt idx="90">
                  <c:v>0.84237693171834227</c:v>
                </c:pt>
                <c:pt idx="91">
                  <c:v>1.256301897981829</c:v>
                </c:pt>
                <c:pt idx="92">
                  <c:v>-1.2926263799663227</c:v>
                </c:pt>
                <c:pt idx="93">
                  <c:v>-0.67552549772374704</c:v>
                </c:pt>
                <c:pt idx="94">
                  <c:v>6.171583023951932E-2</c:v>
                </c:pt>
                <c:pt idx="95">
                  <c:v>-0.72633063913118168</c:v>
                </c:pt>
                <c:pt idx="96">
                  <c:v>0.39630976270462526</c:v>
                </c:pt>
                <c:pt idx="97">
                  <c:v>-0.2415015449941178</c:v>
                </c:pt>
                <c:pt idx="98">
                  <c:v>-0.81069678348891294</c:v>
                </c:pt>
                <c:pt idx="99">
                  <c:v>-0.3323444301481473</c:v>
                </c:pt>
                <c:pt idx="100">
                  <c:v>-0.13545678250833948</c:v>
                </c:pt>
                <c:pt idx="101">
                  <c:v>0.19135829551668504</c:v>
                </c:pt>
                <c:pt idx="102">
                  <c:v>0.27685979691945928</c:v>
                </c:pt>
                <c:pt idx="103">
                  <c:v>-0.13906157022161203</c:v>
                </c:pt>
                <c:pt idx="104">
                  <c:v>-0.41269689746372595</c:v>
                </c:pt>
                <c:pt idx="105">
                  <c:v>-8.9222761268594297E-2</c:v>
                </c:pt>
                <c:pt idx="106">
                  <c:v>4.4906873896401578E-2</c:v>
                </c:pt>
                <c:pt idx="107">
                  <c:v>-0.48812443482064527</c:v>
                </c:pt>
                <c:pt idx="108">
                  <c:v>-7.6266431054262007E-2</c:v>
                </c:pt>
                <c:pt idx="109">
                  <c:v>-5.1216612500263103E-2</c:v>
                </c:pt>
                <c:pt idx="110">
                  <c:v>0.16597028525939095</c:v>
                </c:pt>
                <c:pt idx="111">
                  <c:v>0.36203751846651944</c:v>
                </c:pt>
                <c:pt idx="112">
                  <c:v>0.2338358623341712</c:v>
                </c:pt>
                <c:pt idx="113">
                  <c:v>0.63704147861360649</c:v>
                </c:pt>
                <c:pt idx="114">
                  <c:v>-0.13232067699515326</c:v>
                </c:pt>
                <c:pt idx="115">
                  <c:v>-1.6892614512903137E-2</c:v>
                </c:pt>
                <c:pt idx="116">
                  <c:v>-5.2818196401944739E-2</c:v>
                </c:pt>
                <c:pt idx="117">
                  <c:v>0.13585353104968867</c:v>
                </c:pt>
                <c:pt idx="118">
                  <c:v>0.13155113759116066</c:v>
                </c:pt>
                <c:pt idx="119">
                  <c:v>-9.0116829901689677E-2</c:v>
                </c:pt>
                <c:pt idx="120">
                  <c:v>-0.13644221313506666</c:v>
                </c:pt>
                <c:pt idx="121">
                  <c:v>-0.15370375123610014</c:v>
                </c:pt>
                <c:pt idx="122">
                  <c:v>5.2888784543381639E-2</c:v>
                </c:pt>
                <c:pt idx="123">
                  <c:v>0.23734260008958596</c:v>
                </c:pt>
                <c:pt idx="124">
                  <c:v>0.27863214795339619</c:v>
                </c:pt>
                <c:pt idx="125">
                  <c:v>0.28265157783236017</c:v>
                </c:pt>
                <c:pt idx="126">
                  <c:v>-1.1176206572239167E-2</c:v>
                </c:pt>
                <c:pt idx="127">
                  <c:v>-0.58715949951803381</c:v>
                </c:pt>
                <c:pt idx="128">
                  <c:v>-0.17948210384720475</c:v>
                </c:pt>
                <c:pt idx="129">
                  <c:v>-0.53245200702076456</c:v>
                </c:pt>
                <c:pt idx="130">
                  <c:v>-2.4702534990058034E-2</c:v>
                </c:pt>
                <c:pt idx="131">
                  <c:v>-0.11735409827987731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472256"/>
        <c:axId val="146016512"/>
      </c:scatterChart>
      <c:valAx>
        <c:axId val="39447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loge(y)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46016512"/>
        <c:crosses val="autoZero"/>
        <c:crossBetween val="midCat"/>
      </c:valAx>
      <c:valAx>
        <c:axId val="1460165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944722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loge(y) Line Fit 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t(monthly)</c:v>
          </c:tx>
          <c:spPr>
            <a:ln w="28575">
              <a:noFill/>
            </a:ln>
          </c:spPr>
          <c:xVal>
            <c:numRef>
              <c:f>logaritmoi!$B$2:$B$133</c:f>
              <c:numCache>
                <c:formatCode>General</c:formatCode>
                <c:ptCount val="132"/>
                <c:pt idx="0">
                  <c:v>5.4510384535657002</c:v>
                </c:pt>
                <c:pt idx="1">
                  <c:v>4.6634390941120669</c:v>
                </c:pt>
                <c:pt idx="2">
                  <c:v>5.1761497325738288</c:v>
                </c:pt>
                <c:pt idx="3">
                  <c:v>5.1647859739235145</c:v>
                </c:pt>
                <c:pt idx="4">
                  <c:v>5.181783550292085</c:v>
                </c:pt>
                <c:pt idx="5">
                  <c:v>5.1357984370502621</c:v>
                </c:pt>
                <c:pt idx="6">
                  <c:v>5.2933048247244923</c:v>
                </c:pt>
                <c:pt idx="7">
                  <c:v>4.7621739347977563</c:v>
                </c:pt>
                <c:pt idx="8">
                  <c:v>4.8040210447332568</c:v>
                </c:pt>
                <c:pt idx="9">
                  <c:v>4.9126548857360524</c:v>
                </c:pt>
                <c:pt idx="10">
                  <c:v>4.8675344504555822</c:v>
                </c:pt>
                <c:pt idx="11">
                  <c:v>4.219507705176107</c:v>
                </c:pt>
                <c:pt idx="12">
                  <c:v>5.1873858058407549</c:v>
                </c:pt>
                <c:pt idx="13">
                  <c:v>4.6443908991413725</c:v>
                </c:pt>
                <c:pt idx="14">
                  <c:v>4.8903491282217537</c:v>
                </c:pt>
                <c:pt idx="15">
                  <c:v>5.0937502008067623</c:v>
                </c:pt>
                <c:pt idx="16">
                  <c:v>5.1647859739235145</c:v>
                </c:pt>
                <c:pt idx="17">
                  <c:v>5.0937502008067623</c:v>
                </c:pt>
                <c:pt idx="18">
                  <c:v>5.0498560072495371</c:v>
                </c:pt>
                <c:pt idx="19">
                  <c:v>4.8121843553724171</c:v>
                </c:pt>
                <c:pt idx="20">
                  <c:v>4.9767337424205742</c:v>
                </c:pt>
                <c:pt idx="21">
                  <c:v>5.2832037287379885</c:v>
                </c:pt>
                <c:pt idx="22">
                  <c:v>5.2311086168545868</c:v>
                </c:pt>
                <c:pt idx="23">
                  <c:v>4.9344739331306915</c:v>
                </c:pt>
                <c:pt idx="24">
                  <c:v>5.6801726090170677</c:v>
                </c:pt>
                <c:pt idx="25">
                  <c:v>5.0562458053483077</c:v>
                </c:pt>
                <c:pt idx="26">
                  <c:v>5.1239639794032588</c:v>
                </c:pt>
                <c:pt idx="27">
                  <c:v>5.1590552992145291</c:v>
                </c:pt>
                <c:pt idx="28">
                  <c:v>5.8348107370626048</c:v>
                </c:pt>
                <c:pt idx="29">
                  <c:v>5.4249500174814029</c:v>
                </c:pt>
                <c:pt idx="30">
                  <c:v>5.3327187932653688</c:v>
                </c:pt>
                <c:pt idx="31">
                  <c:v>5.0106352940962555</c:v>
                </c:pt>
                <c:pt idx="32">
                  <c:v>5.1416635565026603</c:v>
                </c:pt>
                <c:pt idx="33">
                  <c:v>5.3798973535404597</c:v>
                </c:pt>
                <c:pt idx="34">
                  <c:v>5.0039463059454592</c:v>
                </c:pt>
                <c:pt idx="35">
                  <c:v>5.181783550292085</c:v>
                </c:pt>
                <c:pt idx="36">
                  <c:v>5.4071717714601188</c:v>
                </c:pt>
                <c:pt idx="37">
                  <c:v>5.0689042022202315</c:v>
                </c:pt>
                <c:pt idx="38">
                  <c:v>5.7365722974791922</c:v>
                </c:pt>
                <c:pt idx="39">
                  <c:v>5.9135030056382698</c:v>
                </c:pt>
                <c:pt idx="40">
                  <c:v>5.6419070709381138</c:v>
                </c:pt>
                <c:pt idx="41">
                  <c:v>5.4161004022044201</c:v>
                </c:pt>
                <c:pt idx="42">
                  <c:v>5.3752784076841653</c:v>
                </c:pt>
                <c:pt idx="43">
                  <c:v>4.8675344504555822</c:v>
                </c:pt>
                <c:pt idx="44">
                  <c:v>5.3278761687895813</c:v>
                </c:pt>
                <c:pt idx="45">
                  <c:v>4.990432586778736</c:v>
                </c:pt>
                <c:pt idx="46">
                  <c:v>5.2832037287379885</c:v>
                </c:pt>
                <c:pt idx="47">
                  <c:v>5.3132059790417872</c:v>
                </c:pt>
                <c:pt idx="48">
                  <c:v>5.0751738152338266</c:v>
                </c:pt>
                <c:pt idx="49">
                  <c:v>5.1984970312658261</c:v>
                </c:pt>
                <c:pt idx="50">
                  <c:v>5.4161004022044201</c:v>
                </c:pt>
                <c:pt idx="51">
                  <c:v>6.0330862217988015</c:v>
                </c:pt>
                <c:pt idx="52">
                  <c:v>6.0913098820776979</c:v>
                </c:pt>
                <c:pt idx="53">
                  <c:v>5.5012582105447274</c:v>
                </c:pt>
                <c:pt idx="54">
                  <c:v>5.5721540321777647</c:v>
                </c:pt>
                <c:pt idx="55">
                  <c:v>4.7706846244656651</c:v>
                </c:pt>
                <c:pt idx="56">
                  <c:v>4.9698132995760007</c:v>
                </c:pt>
                <c:pt idx="57">
                  <c:v>4.9698132995760007</c:v>
                </c:pt>
                <c:pt idx="58">
                  <c:v>5.2364419628299492</c:v>
                </c:pt>
                <c:pt idx="59">
                  <c:v>4.5108595065168497</c:v>
                </c:pt>
                <c:pt idx="60">
                  <c:v>5.7365722974791922</c:v>
                </c:pt>
                <c:pt idx="61">
                  <c:v>5.4205349992722862</c:v>
                </c:pt>
                <c:pt idx="62">
                  <c:v>5.5373342670185366</c:v>
                </c:pt>
                <c:pt idx="63">
                  <c:v>5.9532433342877846</c:v>
                </c:pt>
                <c:pt idx="64">
                  <c:v>5.7620513827801769</c:v>
                </c:pt>
                <c:pt idx="65">
                  <c:v>5.7620513827801769</c:v>
                </c:pt>
                <c:pt idx="66">
                  <c:v>5.1984970312658261</c:v>
                </c:pt>
                <c:pt idx="67">
                  <c:v>5.1532915944977793</c:v>
                </c:pt>
                <c:pt idx="68">
                  <c:v>5.5134287461649825</c:v>
                </c:pt>
                <c:pt idx="69">
                  <c:v>5.5683445037610966</c:v>
                </c:pt>
                <c:pt idx="70">
                  <c:v>5.3423342519648109</c:v>
                </c:pt>
                <c:pt idx="71">
                  <c:v>5.3033049080590757</c:v>
                </c:pt>
                <c:pt idx="72">
                  <c:v>5.7462031905401529</c:v>
                </c:pt>
                <c:pt idx="73">
                  <c:v>4.9698132995760007</c:v>
                </c:pt>
                <c:pt idx="74">
                  <c:v>5.3278761687895813</c:v>
                </c:pt>
                <c:pt idx="75">
                  <c:v>5.7037824746562009</c:v>
                </c:pt>
                <c:pt idx="76">
                  <c:v>5.6204008657171496</c:v>
                </c:pt>
                <c:pt idx="77">
                  <c:v>5.6903594543240601</c:v>
                </c:pt>
                <c:pt idx="78">
                  <c:v>5.6383546693337454</c:v>
                </c:pt>
                <c:pt idx="79">
                  <c:v>5.8141305318250662</c:v>
                </c:pt>
                <c:pt idx="80">
                  <c:v>3.784189633918261</c:v>
                </c:pt>
                <c:pt idx="81">
                  <c:v>5.2729995585637468</c:v>
                </c:pt>
                <c:pt idx="82">
                  <c:v>4.9487598903781684</c:v>
                </c:pt>
                <c:pt idx="83">
                  <c:v>4.8751973232011512</c:v>
                </c:pt>
                <c:pt idx="84">
                  <c:v>5.9135030056382698</c:v>
                </c:pt>
                <c:pt idx="85">
                  <c:v>5.4806389233419912</c:v>
                </c:pt>
                <c:pt idx="86">
                  <c:v>5.389071729816501</c:v>
                </c:pt>
                <c:pt idx="87">
                  <c:v>6.0520891689244172</c:v>
                </c:pt>
                <c:pt idx="88">
                  <c:v>6.1114673395026786</c:v>
                </c:pt>
                <c:pt idx="89">
                  <c:v>5.955837369464831</c:v>
                </c:pt>
                <c:pt idx="90">
                  <c:v>6.300785794663244</c:v>
                </c:pt>
                <c:pt idx="91">
                  <c:v>6.7190131543852596</c:v>
                </c:pt>
                <c:pt idx="92">
                  <c:v>4.1743872698956368</c:v>
                </c:pt>
                <c:pt idx="93">
                  <c:v>4.7957905455967413</c:v>
                </c:pt>
                <c:pt idx="94">
                  <c:v>5.5373342670185366</c:v>
                </c:pt>
                <c:pt idx="95">
                  <c:v>4.7535901911063645</c:v>
                </c:pt>
                <c:pt idx="96">
                  <c:v>5.8805329864007003</c:v>
                </c:pt>
                <c:pt idx="97">
                  <c:v>5.2470240721604862</c:v>
                </c:pt>
                <c:pt idx="98">
                  <c:v>4.6821312271242199</c:v>
                </c:pt>
                <c:pt idx="99">
                  <c:v>5.1647859739235145</c:v>
                </c:pt>
                <c:pt idx="100">
                  <c:v>5.3659760150218512</c:v>
                </c:pt>
                <c:pt idx="101">
                  <c:v>5.6970934865054046</c:v>
                </c:pt>
                <c:pt idx="102">
                  <c:v>5.7868973813667077</c:v>
                </c:pt>
                <c:pt idx="103">
                  <c:v>5.3752784076841653</c:v>
                </c:pt>
                <c:pt idx="104">
                  <c:v>5.1059454739005803</c:v>
                </c:pt>
                <c:pt idx="105">
                  <c:v>5.43372200355424</c:v>
                </c:pt>
                <c:pt idx="106">
                  <c:v>5.5721540321777647</c:v>
                </c:pt>
                <c:pt idx="107">
                  <c:v>5.0434251169192468</c:v>
                </c:pt>
                <c:pt idx="108">
                  <c:v>5.4595855141441589</c:v>
                </c:pt>
                <c:pt idx="109">
                  <c:v>5.4889377261566867</c:v>
                </c:pt>
                <c:pt idx="110">
                  <c:v>5.7104270173748697</c:v>
                </c:pt>
                <c:pt idx="111">
                  <c:v>5.9107966440405271</c:v>
                </c:pt>
                <c:pt idx="112">
                  <c:v>5.7868973813667077</c:v>
                </c:pt>
                <c:pt idx="113">
                  <c:v>6.1944053911046719</c:v>
                </c:pt>
                <c:pt idx="114">
                  <c:v>5.4293456289544411</c:v>
                </c:pt>
                <c:pt idx="115">
                  <c:v>5.5490760848952201</c:v>
                </c:pt>
                <c:pt idx="116">
                  <c:v>5.5174528964647074</c:v>
                </c:pt>
                <c:pt idx="117">
                  <c:v>5.7104270173748697</c:v>
                </c:pt>
                <c:pt idx="118">
                  <c:v>5.7104270173748697</c:v>
                </c:pt>
                <c:pt idx="119">
                  <c:v>5.4930614433405482</c:v>
                </c:pt>
                <c:pt idx="120">
                  <c:v>5.4510384535657002</c:v>
                </c:pt>
                <c:pt idx="121">
                  <c:v>5.4380793089231956</c:v>
                </c:pt>
                <c:pt idx="122">
                  <c:v>5.6489742381612063</c:v>
                </c:pt>
                <c:pt idx="123">
                  <c:v>5.8377304471659395</c:v>
                </c:pt>
                <c:pt idx="124">
                  <c:v>5.8833223884882786</c:v>
                </c:pt>
                <c:pt idx="125">
                  <c:v>5.8916442118257715</c:v>
                </c:pt>
                <c:pt idx="126">
                  <c:v>5.602118820879701</c:v>
                </c:pt>
                <c:pt idx="127">
                  <c:v>5.0304379213924353</c:v>
                </c:pt>
                <c:pt idx="128">
                  <c:v>5.4424177105217932</c:v>
                </c:pt>
                <c:pt idx="129">
                  <c:v>5.0937502008067623</c:v>
                </c:pt>
                <c:pt idx="130">
                  <c:v>5.6058020662959978</c:v>
                </c:pt>
                <c:pt idx="131">
                  <c:v>5.5174528964647074</c:v>
                </c:pt>
              </c:numCache>
            </c:numRef>
          </c:xVal>
          <c:yVal>
            <c:numRef>
              <c:f>logaritmoi!$A$2:$A$133</c:f>
              <c:numCache>
                <c:formatCode>General</c:formatCode>
                <c:ptCount val="1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</c:numCache>
            </c:numRef>
          </c:yVal>
          <c:smooth val="0"/>
        </c:ser>
        <c:ser>
          <c:idx val="1"/>
          <c:order val="1"/>
          <c:tx>
            <c:v>Predicted t(monthly)</c:v>
          </c:tx>
          <c:spPr>
            <a:ln w="28575">
              <a:noFill/>
            </a:ln>
          </c:spPr>
          <c:xVal>
            <c:numRef>
              <c:f>logaritmoi!$B$2:$B$133</c:f>
              <c:numCache>
                <c:formatCode>General</c:formatCode>
                <c:ptCount val="132"/>
                <c:pt idx="0">
                  <c:v>5.4510384535657002</c:v>
                </c:pt>
                <c:pt idx="1">
                  <c:v>4.6634390941120669</c:v>
                </c:pt>
                <c:pt idx="2">
                  <c:v>5.1761497325738288</c:v>
                </c:pt>
                <c:pt idx="3">
                  <c:v>5.1647859739235145</c:v>
                </c:pt>
                <c:pt idx="4">
                  <c:v>5.181783550292085</c:v>
                </c:pt>
                <c:pt idx="5">
                  <c:v>5.1357984370502621</c:v>
                </c:pt>
                <c:pt idx="6">
                  <c:v>5.2933048247244923</c:v>
                </c:pt>
                <c:pt idx="7">
                  <c:v>4.7621739347977563</c:v>
                </c:pt>
                <c:pt idx="8">
                  <c:v>4.8040210447332568</c:v>
                </c:pt>
                <c:pt idx="9">
                  <c:v>4.9126548857360524</c:v>
                </c:pt>
                <c:pt idx="10">
                  <c:v>4.8675344504555822</c:v>
                </c:pt>
                <c:pt idx="11">
                  <c:v>4.219507705176107</c:v>
                </c:pt>
                <c:pt idx="12">
                  <c:v>5.1873858058407549</c:v>
                </c:pt>
                <c:pt idx="13">
                  <c:v>4.6443908991413725</c:v>
                </c:pt>
                <c:pt idx="14">
                  <c:v>4.8903491282217537</c:v>
                </c:pt>
                <c:pt idx="15">
                  <c:v>5.0937502008067623</c:v>
                </c:pt>
                <c:pt idx="16">
                  <c:v>5.1647859739235145</c:v>
                </c:pt>
                <c:pt idx="17">
                  <c:v>5.0937502008067623</c:v>
                </c:pt>
                <c:pt idx="18">
                  <c:v>5.0498560072495371</c:v>
                </c:pt>
                <c:pt idx="19">
                  <c:v>4.8121843553724171</c:v>
                </c:pt>
                <c:pt idx="20">
                  <c:v>4.9767337424205742</c:v>
                </c:pt>
                <c:pt idx="21">
                  <c:v>5.2832037287379885</c:v>
                </c:pt>
                <c:pt idx="22">
                  <c:v>5.2311086168545868</c:v>
                </c:pt>
                <c:pt idx="23">
                  <c:v>4.9344739331306915</c:v>
                </c:pt>
                <c:pt idx="24">
                  <c:v>5.6801726090170677</c:v>
                </c:pt>
                <c:pt idx="25">
                  <c:v>5.0562458053483077</c:v>
                </c:pt>
                <c:pt idx="26">
                  <c:v>5.1239639794032588</c:v>
                </c:pt>
                <c:pt idx="27">
                  <c:v>5.1590552992145291</c:v>
                </c:pt>
                <c:pt idx="28">
                  <c:v>5.8348107370626048</c:v>
                </c:pt>
                <c:pt idx="29">
                  <c:v>5.4249500174814029</c:v>
                </c:pt>
                <c:pt idx="30">
                  <c:v>5.3327187932653688</c:v>
                </c:pt>
                <c:pt idx="31">
                  <c:v>5.0106352940962555</c:v>
                </c:pt>
                <c:pt idx="32">
                  <c:v>5.1416635565026603</c:v>
                </c:pt>
                <c:pt idx="33">
                  <c:v>5.3798973535404597</c:v>
                </c:pt>
                <c:pt idx="34">
                  <c:v>5.0039463059454592</c:v>
                </c:pt>
                <c:pt idx="35">
                  <c:v>5.181783550292085</c:v>
                </c:pt>
                <c:pt idx="36">
                  <c:v>5.4071717714601188</c:v>
                </c:pt>
                <c:pt idx="37">
                  <c:v>5.0689042022202315</c:v>
                </c:pt>
                <c:pt idx="38">
                  <c:v>5.7365722974791922</c:v>
                </c:pt>
                <c:pt idx="39">
                  <c:v>5.9135030056382698</c:v>
                </c:pt>
                <c:pt idx="40">
                  <c:v>5.6419070709381138</c:v>
                </c:pt>
                <c:pt idx="41">
                  <c:v>5.4161004022044201</c:v>
                </c:pt>
                <c:pt idx="42">
                  <c:v>5.3752784076841653</c:v>
                </c:pt>
                <c:pt idx="43">
                  <c:v>4.8675344504555822</c:v>
                </c:pt>
                <c:pt idx="44">
                  <c:v>5.3278761687895813</c:v>
                </c:pt>
                <c:pt idx="45">
                  <c:v>4.990432586778736</c:v>
                </c:pt>
                <c:pt idx="46">
                  <c:v>5.2832037287379885</c:v>
                </c:pt>
                <c:pt idx="47">
                  <c:v>5.3132059790417872</c:v>
                </c:pt>
                <c:pt idx="48">
                  <c:v>5.0751738152338266</c:v>
                </c:pt>
                <c:pt idx="49">
                  <c:v>5.1984970312658261</c:v>
                </c:pt>
                <c:pt idx="50">
                  <c:v>5.4161004022044201</c:v>
                </c:pt>
                <c:pt idx="51">
                  <c:v>6.0330862217988015</c:v>
                </c:pt>
                <c:pt idx="52">
                  <c:v>6.0913098820776979</c:v>
                </c:pt>
                <c:pt idx="53">
                  <c:v>5.5012582105447274</c:v>
                </c:pt>
                <c:pt idx="54">
                  <c:v>5.5721540321777647</c:v>
                </c:pt>
                <c:pt idx="55">
                  <c:v>4.7706846244656651</c:v>
                </c:pt>
                <c:pt idx="56">
                  <c:v>4.9698132995760007</c:v>
                </c:pt>
                <c:pt idx="57">
                  <c:v>4.9698132995760007</c:v>
                </c:pt>
                <c:pt idx="58">
                  <c:v>5.2364419628299492</c:v>
                </c:pt>
                <c:pt idx="59">
                  <c:v>4.5108595065168497</c:v>
                </c:pt>
                <c:pt idx="60">
                  <c:v>5.7365722974791922</c:v>
                </c:pt>
                <c:pt idx="61">
                  <c:v>5.4205349992722862</c:v>
                </c:pt>
                <c:pt idx="62">
                  <c:v>5.5373342670185366</c:v>
                </c:pt>
                <c:pt idx="63">
                  <c:v>5.9532433342877846</c:v>
                </c:pt>
                <c:pt idx="64">
                  <c:v>5.7620513827801769</c:v>
                </c:pt>
                <c:pt idx="65">
                  <c:v>5.7620513827801769</c:v>
                </c:pt>
                <c:pt idx="66">
                  <c:v>5.1984970312658261</c:v>
                </c:pt>
                <c:pt idx="67">
                  <c:v>5.1532915944977793</c:v>
                </c:pt>
                <c:pt idx="68">
                  <c:v>5.5134287461649825</c:v>
                </c:pt>
                <c:pt idx="69">
                  <c:v>5.5683445037610966</c:v>
                </c:pt>
                <c:pt idx="70">
                  <c:v>5.3423342519648109</c:v>
                </c:pt>
                <c:pt idx="71">
                  <c:v>5.3033049080590757</c:v>
                </c:pt>
                <c:pt idx="72">
                  <c:v>5.7462031905401529</c:v>
                </c:pt>
                <c:pt idx="73">
                  <c:v>4.9698132995760007</c:v>
                </c:pt>
                <c:pt idx="74">
                  <c:v>5.3278761687895813</c:v>
                </c:pt>
                <c:pt idx="75">
                  <c:v>5.7037824746562009</c:v>
                </c:pt>
                <c:pt idx="76">
                  <c:v>5.6204008657171496</c:v>
                </c:pt>
                <c:pt idx="77">
                  <c:v>5.6903594543240601</c:v>
                </c:pt>
                <c:pt idx="78">
                  <c:v>5.6383546693337454</c:v>
                </c:pt>
                <c:pt idx="79">
                  <c:v>5.8141305318250662</c:v>
                </c:pt>
                <c:pt idx="80">
                  <c:v>3.784189633918261</c:v>
                </c:pt>
                <c:pt idx="81">
                  <c:v>5.2729995585637468</c:v>
                </c:pt>
                <c:pt idx="82">
                  <c:v>4.9487598903781684</c:v>
                </c:pt>
                <c:pt idx="83">
                  <c:v>4.8751973232011512</c:v>
                </c:pt>
                <c:pt idx="84">
                  <c:v>5.9135030056382698</c:v>
                </c:pt>
                <c:pt idx="85">
                  <c:v>5.4806389233419912</c:v>
                </c:pt>
                <c:pt idx="86">
                  <c:v>5.389071729816501</c:v>
                </c:pt>
                <c:pt idx="87">
                  <c:v>6.0520891689244172</c:v>
                </c:pt>
                <c:pt idx="88">
                  <c:v>6.1114673395026786</c:v>
                </c:pt>
                <c:pt idx="89">
                  <c:v>5.955837369464831</c:v>
                </c:pt>
                <c:pt idx="90">
                  <c:v>6.300785794663244</c:v>
                </c:pt>
                <c:pt idx="91">
                  <c:v>6.7190131543852596</c:v>
                </c:pt>
                <c:pt idx="92">
                  <c:v>4.1743872698956368</c:v>
                </c:pt>
                <c:pt idx="93">
                  <c:v>4.7957905455967413</c:v>
                </c:pt>
                <c:pt idx="94">
                  <c:v>5.5373342670185366</c:v>
                </c:pt>
                <c:pt idx="95">
                  <c:v>4.7535901911063645</c:v>
                </c:pt>
                <c:pt idx="96">
                  <c:v>5.8805329864007003</c:v>
                </c:pt>
                <c:pt idx="97">
                  <c:v>5.2470240721604862</c:v>
                </c:pt>
                <c:pt idx="98">
                  <c:v>4.6821312271242199</c:v>
                </c:pt>
                <c:pt idx="99">
                  <c:v>5.1647859739235145</c:v>
                </c:pt>
                <c:pt idx="100">
                  <c:v>5.3659760150218512</c:v>
                </c:pt>
                <c:pt idx="101">
                  <c:v>5.6970934865054046</c:v>
                </c:pt>
                <c:pt idx="102">
                  <c:v>5.7868973813667077</c:v>
                </c:pt>
                <c:pt idx="103">
                  <c:v>5.3752784076841653</c:v>
                </c:pt>
                <c:pt idx="104">
                  <c:v>5.1059454739005803</c:v>
                </c:pt>
                <c:pt idx="105">
                  <c:v>5.43372200355424</c:v>
                </c:pt>
                <c:pt idx="106">
                  <c:v>5.5721540321777647</c:v>
                </c:pt>
                <c:pt idx="107">
                  <c:v>5.0434251169192468</c:v>
                </c:pt>
                <c:pt idx="108">
                  <c:v>5.4595855141441589</c:v>
                </c:pt>
                <c:pt idx="109">
                  <c:v>5.4889377261566867</c:v>
                </c:pt>
                <c:pt idx="110">
                  <c:v>5.7104270173748697</c:v>
                </c:pt>
                <c:pt idx="111">
                  <c:v>5.9107966440405271</c:v>
                </c:pt>
                <c:pt idx="112">
                  <c:v>5.7868973813667077</c:v>
                </c:pt>
                <c:pt idx="113">
                  <c:v>6.1944053911046719</c:v>
                </c:pt>
                <c:pt idx="114">
                  <c:v>5.4293456289544411</c:v>
                </c:pt>
                <c:pt idx="115">
                  <c:v>5.5490760848952201</c:v>
                </c:pt>
                <c:pt idx="116">
                  <c:v>5.5174528964647074</c:v>
                </c:pt>
                <c:pt idx="117">
                  <c:v>5.7104270173748697</c:v>
                </c:pt>
                <c:pt idx="118">
                  <c:v>5.7104270173748697</c:v>
                </c:pt>
                <c:pt idx="119">
                  <c:v>5.4930614433405482</c:v>
                </c:pt>
                <c:pt idx="120">
                  <c:v>5.4510384535657002</c:v>
                </c:pt>
                <c:pt idx="121">
                  <c:v>5.4380793089231956</c:v>
                </c:pt>
                <c:pt idx="122">
                  <c:v>5.6489742381612063</c:v>
                </c:pt>
                <c:pt idx="123">
                  <c:v>5.8377304471659395</c:v>
                </c:pt>
                <c:pt idx="124">
                  <c:v>5.8833223884882786</c:v>
                </c:pt>
                <c:pt idx="125">
                  <c:v>5.8916442118257715</c:v>
                </c:pt>
                <c:pt idx="126">
                  <c:v>5.602118820879701</c:v>
                </c:pt>
                <c:pt idx="127">
                  <c:v>5.0304379213924353</c:v>
                </c:pt>
                <c:pt idx="128">
                  <c:v>5.4424177105217932</c:v>
                </c:pt>
                <c:pt idx="129">
                  <c:v>5.0937502008067623</c:v>
                </c:pt>
                <c:pt idx="130">
                  <c:v>5.6058020662959978</c:v>
                </c:pt>
                <c:pt idx="131">
                  <c:v>5.5174528964647074</c:v>
                </c:pt>
              </c:numCache>
            </c:numRef>
          </c:xVal>
          <c:yVal>
            <c:numRef>
              <c:f>logaritmoi!$W$25:$W$156</c:f>
              <c:numCache>
                <c:formatCode>General</c:formatCode>
                <c:ptCount val="132"/>
                <c:pt idx="0">
                  <c:v>5.0711934516773072</c:v>
                </c:pt>
                <c:pt idx="1">
                  <c:v>5.0754958451358361</c:v>
                </c:pt>
                <c:pt idx="2">
                  <c:v>5.079798238594365</c:v>
                </c:pt>
                <c:pt idx="3">
                  <c:v>5.0841006320528939</c:v>
                </c:pt>
                <c:pt idx="4">
                  <c:v>5.0884030255114228</c:v>
                </c:pt>
                <c:pt idx="5">
                  <c:v>5.0927054189699517</c:v>
                </c:pt>
                <c:pt idx="6">
                  <c:v>5.0970078124284797</c:v>
                </c:pt>
                <c:pt idx="7">
                  <c:v>5.1013102058870086</c:v>
                </c:pt>
                <c:pt idx="8">
                  <c:v>5.1056125993455375</c:v>
                </c:pt>
                <c:pt idx="9">
                  <c:v>5.1099149928040664</c:v>
                </c:pt>
                <c:pt idx="10">
                  <c:v>5.1142173862625953</c:v>
                </c:pt>
                <c:pt idx="11">
                  <c:v>5.1185197797211242</c:v>
                </c:pt>
                <c:pt idx="12">
                  <c:v>5.122822173179653</c:v>
                </c:pt>
                <c:pt idx="13">
                  <c:v>5.1271245666381819</c:v>
                </c:pt>
                <c:pt idx="14">
                  <c:v>5.1314269600967108</c:v>
                </c:pt>
                <c:pt idx="15">
                  <c:v>5.1357293535552397</c:v>
                </c:pt>
                <c:pt idx="16">
                  <c:v>5.1400317470137686</c:v>
                </c:pt>
                <c:pt idx="17">
                  <c:v>5.1443341404722975</c:v>
                </c:pt>
                <c:pt idx="18">
                  <c:v>5.1486365339308264</c:v>
                </c:pt>
                <c:pt idx="19">
                  <c:v>5.1529389273893553</c:v>
                </c:pt>
                <c:pt idx="20">
                  <c:v>5.1572413208478842</c:v>
                </c:pt>
                <c:pt idx="21">
                  <c:v>5.1615437143064122</c:v>
                </c:pt>
                <c:pt idx="22">
                  <c:v>5.1658461077649411</c:v>
                </c:pt>
                <c:pt idx="23">
                  <c:v>5.17014850122347</c:v>
                </c:pt>
                <c:pt idx="24">
                  <c:v>5.1744508946819989</c:v>
                </c:pt>
                <c:pt idx="25">
                  <c:v>5.1787532881405278</c:v>
                </c:pt>
                <c:pt idx="26">
                  <c:v>5.1830556815990567</c:v>
                </c:pt>
                <c:pt idx="27">
                  <c:v>5.1873580750575856</c:v>
                </c:pt>
                <c:pt idx="28">
                  <c:v>5.1916604685161145</c:v>
                </c:pt>
                <c:pt idx="29">
                  <c:v>5.1959628619746434</c:v>
                </c:pt>
                <c:pt idx="30">
                  <c:v>5.2002652554331723</c:v>
                </c:pt>
                <c:pt idx="31">
                  <c:v>5.2045676488917012</c:v>
                </c:pt>
                <c:pt idx="32">
                  <c:v>5.2088700423502301</c:v>
                </c:pt>
                <c:pt idx="33">
                  <c:v>5.213172435808759</c:v>
                </c:pt>
                <c:pt idx="34">
                  <c:v>5.217474829267287</c:v>
                </c:pt>
                <c:pt idx="35">
                  <c:v>5.2217772227258159</c:v>
                </c:pt>
                <c:pt idx="36">
                  <c:v>5.2260796161843448</c:v>
                </c:pt>
                <c:pt idx="37">
                  <c:v>5.2303820096428737</c:v>
                </c:pt>
                <c:pt idx="38">
                  <c:v>5.2346844031014026</c:v>
                </c:pt>
                <c:pt idx="39">
                  <c:v>5.2389867965599315</c:v>
                </c:pt>
                <c:pt idx="40">
                  <c:v>5.2432891900184604</c:v>
                </c:pt>
                <c:pt idx="41">
                  <c:v>5.2475915834769893</c:v>
                </c:pt>
                <c:pt idx="42">
                  <c:v>5.2518939769355182</c:v>
                </c:pt>
                <c:pt idx="43">
                  <c:v>5.2561963703940471</c:v>
                </c:pt>
                <c:pt idx="44">
                  <c:v>5.260498763852576</c:v>
                </c:pt>
                <c:pt idx="45">
                  <c:v>5.2648011573111049</c:v>
                </c:pt>
                <c:pt idx="46">
                  <c:v>5.2691035507696338</c:v>
                </c:pt>
                <c:pt idx="47">
                  <c:v>5.2734059442281627</c:v>
                </c:pt>
                <c:pt idx="48">
                  <c:v>5.2777083376866916</c:v>
                </c:pt>
                <c:pt idx="49">
                  <c:v>5.2820107311452196</c:v>
                </c:pt>
                <c:pt idx="50">
                  <c:v>5.2863131246037485</c:v>
                </c:pt>
                <c:pt idx="51">
                  <c:v>5.2906155180622774</c:v>
                </c:pt>
                <c:pt idx="52">
                  <c:v>5.2949179115208063</c:v>
                </c:pt>
                <c:pt idx="53">
                  <c:v>5.2992203049793352</c:v>
                </c:pt>
                <c:pt idx="54">
                  <c:v>5.3035226984378641</c:v>
                </c:pt>
                <c:pt idx="55">
                  <c:v>5.307825091896393</c:v>
                </c:pt>
                <c:pt idx="56">
                  <c:v>5.3121274853549219</c:v>
                </c:pt>
                <c:pt idx="57">
                  <c:v>5.3164298788134507</c:v>
                </c:pt>
                <c:pt idx="58">
                  <c:v>5.3207322722719796</c:v>
                </c:pt>
                <c:pt idx="59">
                  <c:v>5.3250346657305085</c:v>
                </c:pt>
                <c:pt idx="60">
                  <c:v>5.3293370591890374</c:v>
                </c:pt>
                <c:pt idx="61">
                  <c:v>5.3336394526475663</c:v>
                </c:pt>
                <c:pt idx="62">
                  <c:v>5.3379418461060943</c:v>
                </c:pt>
                <c:pt idx="63">
                  <c:v>5.3422442395646232</c:v>
                </c:pt>
                <c:pt idx="64">
                  <c:v>5.3465466330231521</c:v>
                </c:pt>
                <c:pt idx="65">
                  <c:v>5.350849026481681</c:v>
                </c:pt>
                <c:pt idx="66">
                  <c:v>5.3551514199402099</c:v>
                </c:pt>
                <c:pt idx="67">
                  <c:v>5.3594538133987388</c:v>
                </c:pt>
                <c:pt idx="68">
                  <c:v>5.3637562068572677</c:v>
                </c:pt>
                <c:pt idx="69">
                  <c:v>5.3680586003157966</c:v>
                </c:pt>
                <c:pt idx="70">
                  <c:v>5.3723609937743255</c:v>
                </c:pt>
                <c:pt idx="71">
                  <c:v>5.3766633872328544</c:v>
                </c:pt>
                <c:pt idx="72">
                  <c:v>5.3809657806913833</c:v>
                </c:pt>
                <c:pt idx="73">
                  <c:v>5.3852681741499122</c:v>
                </c:pt>
                <c:pt idx="74">
                  <c:v>5.3895705676084411</c:v>
                </c:pt>
                <c:pt idx="75">
                  <c:v>5.39387296106697</c:v>
                </c:pt>
                <c:pt idx="76">
                  <c:v>5.3981753545254989</c:v>
                </c:pt>
                <c:pt idx="77">
                  <c:v>5.4024777479840269</c:v>
                </c:pt>
                <c:pt idx="78">
                  <c:v>5.4067801414425558</c:v>
                </c:pt>
                <c:pt idx="79">
                  <c:v>5.4110825349010847</c:v>
                </c:pt>
                <c:pt idx="80">
                  <c:v>5.4153849283596136</c:v>
                </c:pt>
                <c:pt idx="81">
                  <c:v>5.4196873218181425</c:v>
                </c:pt>
                <c:pt idx="82">
                  <c:v>5.4239897152766714</c:v>
                </c:pt>
                <c:pt idx="83">
                  <c:v>5.4282921087352003</c:v>
                </c:pt>
                <c:pt idx="84">
                  <c:v>5.4325945021937292</c:v>
                </c:pt>
                <c:pt idx="85">
                  <c:v>5.4368968956522581</c:v>
                </c:pt>
                <c:pt idx="86">
                  <c:v>5.441199289110787</c:v>
                </c:pt>
                <c:pt idx="87">
                  <c:v>5.4455016825693159</c:v>
                </c:pt>
                <c:pt idx="88">
                  <c:v>5.4498040760278448</c:v>
                </c:pt>
                <c:pt idx="89">
                  <c:v>5.4541064694863737</c:v>
                </c:pt>
                <c:pt idx="90">
                  <c:v>5.4584088629449017</c:v>
                </c:pt>
                <c:pt idx="91">
                  <c:v>5.4627112564034306</c:v>
                </c:pt>
                <c:pt idx="92">
                  <c:v>5.4670136498619595</c:v>
                </c:pt>
                <c:pt idx="93">
                  <c:v>5.4713160433204884</c:v>
                </c:pt>
                <c:pt idx="94">
                  <c:v>5.4756184367790173</c:v>
                </c:pt>
                <c:pt idx="95">
                  <c:v>5.4799208302375462</c:v>
                </c:pt>
                <c:pt idx="96">
                  <c:v>5.4842232236960751</c:v>
                </c:pt>
                <c:pt idx="97">
                  <c:v>5.488525617154604</c:v>
                </c:pt>
                <c:pt idx="98">
                  <c:v>5.4928280106131329</c:v>
                </c:pt>
                <c:pt idx="99">
                  <c:v>5.4971304040716618</c:v>
                </c:pt>
                <c:pt idx="100">
                  <c:v>5.5014327975301907</c:v>
                </c:pt>
                <c:pt idx="101">
                  <c:v>5.5057351909887196</c:v>
                </c:pt>
                <c:pt idx="102">
                  <c:v>5.5100375844472484</c:v>
                </c:pt>
                <c:pt idx="103">
                  <c:v>5.5143399779057773</c:v>
                </c:pt>
                <c:pt idx="104">
                  <c:v>5.5186423713643062</c:v>
                </c:pt>
                <c:pt idx="105">
                  <c:v>5.5229447648228343</c:v>
                </c:pt>
                <c:pt idx="106">
                  <c:v>5.5272471582813631</c:v>
                </c:pt>
                <c:pt idx="107">
                  <c:v>5.531549551739892</c:v>
                </c:pt>
                <c:pt idx="108">
                  <c:v>5.5358519451984209</c:v>
                </c:pt>
                <c:pt idx="109">
                  <c:v>5.5401543386569498</c:v>
                </c:pt>
                <c:pt idx="110">
                  <c:v>5.5444567321154787</c:v>
                </c:pt>
                <c:pt idx="111">
                  <c:v>5.5487591255740076</c:v>
                </c:pt>
                <c:pt idx="112">
                  <c:v>5.5530615190325365</c:v>
                </c:pt>
                <c:pt idx="113">
                  <c:v>5.5573639124910654</c:v>
                </c:pt>
                <c:pt idx="114">
                  <c:v>5.5616663059495943</c:v>
                </c:pt>
                <c:pt idx="115">
                  <c:v>5.5659686994081232</c:v>
                </c:pt>
                <c:pt idx="116">
                  <c:v>5.5702710928666521</c:v>
                </c:pt>
                <c:pt idx="117">
                  <c:v>5.574573486325181</c:v>
                </c:pt>
                <c:pt idx="118">
                  <c:v>5.578875879783709</c:v>
                </c:pt>
                <c:pt idx="119">
                  <c:v>5.5831782732422379</c:v>
                </c:pt>
                <c:pt idx="120">
                  <c:v>5.5874806667007668</c:v>
                </c:pt>
                <c:pt idx="121">
                  <c:v>5.5917830601592957</c:v>
                </c:pt>
                <c:pt idx="122">
                  <c:v>5.5960854536178246</c:v>
                </c:pt>
                <c:pt idx="123">
                  <c:v>5.6003878470763535</c:v>
                </c:pt>
                <c:pt idx="124">
                  <c:v>5.6046902405348824</c:v>
                </c:pt>
                <c:pt idx="125">
                  <c:v>5.6089926339934113</c:v>
                </c:pt>
                <c:pt idx="126">
                  <c:v>5.6132950274519402</c:v>
                </c:pt>
                <c:pt idx="127">
                  <c:v>5.6175974209104691</c:v>
                </c:pt>
                <c:pt idx="128">
                  <c:v>5.621899814368998</c:v>
                </c:pt>
                <c:pt idx="129">
                  <c:v>5.6262022078275269</c:v>
                </c:pt>
                <c:pt idx="130">
                  <c:v>5.6305046012860558</c:v>
                </c:pt>
                <c:pt idx="131">
                  <c:v>5.6348069947445847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686976"/>
        <c:axId val="173834816"/>
      </c:scatterChart>
      <c:valAx>
        <c:axId val="394686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loge(y)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3834816"/>
        <c:crosses val="autoZero"/>
        <c:crossBetween val="midCat"/>
      </c:valAx>
      <c:valAx>
        <c:axId val="1738348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t(monthly)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9468697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Normal Probability Plot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336340769903766E-2"/>
          <c:y val="4.6301335654513727E-2"/>
          <c:w val="0.77178532370953634"/>
          <c:h val="0.329786045555754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logaritmoi!$AA$25:$AA$156</c:f>
              <c:numCache>
                <c:formatCode>General</c:formatCode>
                <c:ptCount val="132"/>
                <c:pt idx="0">
                  <c:v>0.37878787878787878</c:v>
                </c:pt>
                <c:pt idx="1">
                  <c:v>1.1363636363636362</c:v>
                </c:pt>
                <c:pt idx="2">
                  <c:v>1.893939393939394</c:v>
                </c:pt>
                <c:pt idx="3">
                  <c:v>2.6515151515151514</c:v>
                </c:pt>
                <c:pt idx="4">
                  <c:v>3.4090909090909092</c:v>
                </c:pt>
                <c:pt idx="5">
                  <c:v>4.166666666666667</c:v>
                </c:pt>
                <c:pt idx="6">
                  <c:v>4.9242424242424239</c:v>
                </c:pt>
                <c:pt idx="7">
                  <c:v>5.6818181818181817</c:v>
                </c:pt>
                <c:pt idx="8">
                  <c:v>6.4393939393939394</c:v>
                </c:pt>
                <c:pt idx="9">
                  <c:v>7.1969696969696972</c:v>
                </c:pt>
                <c:pt idx="10">
                  <c:v>7.954545454545455</c:v>
                </c:pt>
                <c:pt idx="11">
                  <c:v>8.7121212121212128</c:v>
                </c:pt>
                <c:pt idx="12">
                  <c:v>9.4696969696969688</c:v>
                </c:pt>
                <c:pt idx="13">
                  <c:v>10.227272727272727</c:v>
                </c:pt>
                <c:pt idx="14">
                  <c:v>10.984848484848484</c:v>
                </c:pt>
                <c:pt idx="15">
                  <c:v>11.742424242424242</c:v>
                </c:pt>
                <c:pt idx="16">
                  <c:v>12.5</c:v>
                </c:pt>
                <c:pt idx="17">
                  <c:v>13.257575757575758</c:v>
                </c:pt>
                <c:pt idx="18">
                  <c:v>14.015151515151516</c:v>
                </c:pt>
                <c:pt idx="19">
                  <c:v>14.772727272727273</c:v>
                </c:pt>
                <c:pt idx="20">
                  <c:v>15.530303030303031</c:v>
                </c:pt>
                <c:pt idx="21">
                  <c:v>16.287878787878785</c:v>
                </c:pt>
                <c:pt idx="22">
                  <c:v>17.045454545454547</c:v>
                </c:pt>
                <c:pt idx="23">
                  <c:v>17.803030303030305</c:v>
                </c:pt>
                <c:pt idx="24">
                  <c:v>18.560606060606059</c:v>
                </c:pt>
                <c:pt idx="25">
                  <c:v>19.318181818181817</c:v>
                </c:pt>
                <c:pt idx="26">
                  <c:v>20.075757575757574</c:v>
                </c:pt>
                <c:pt idx="27">
                  <c:v>20.833333333333332</c:v>
                </c:pt>
                <c:pt idx="28">
                  <c:v>21.59090909090909</c:v>
                </c:pt>
                <c:pt idx="29">
                  <c:v>22.348484848484848</c:v>
                </c:pt>
                <c:pt idx="30">
                  <c:v>23.106060606060606</c:v>
                </c:pt>
                <c:pt idx="31">
                  <c:v>23.863636363636363</c:v>
                </c:pt>
                <c:pt idx="32">
                  <c:v>24.621212121212121</c:v>
                </c:pt>
                <c:pt idx="33">
                  <c:v>25.378787878787879</c:v>
                </c:pt>
                <c:pt idx="34">
                  <c:v>26.136363636363637</c:v>
                </c:pt>
                <c:pt idx="35">
                  <c:v>26.893939393939394</c:v>
                </c:pt>
                <c:pt idx="36">
                  <c:v>27.651515151515152</c:v>
                </c:pt>
                <c:pt idx="37">
                  <c:v>28.40909090909091</c:v>
                </c:pt>
                <c:pt idx="38">
                  <c:v>29.166666666666668</c:v>
                </c:pt>
                <c:pt idx="39">
                  <c:v>29.924242424242426</c:v>
                </c:pt>
                <c:pt idx="40">
                  <c:v>30.681818181818183</c:v>
                </c:pt>
                <c:pt idx="41">
                  <c:v>31.439393939393938</c:v>
                </c:pt>
                <c:pt idx="42">
                  <c:v>32.196969696969695</c:v>
                </c:pt>
                <c:pt idx="43">
                  <c:v>32.954545454545453</c:v>
                </c:pt>
                <c:pt idx="44">
                  <c:v>33.712121212121211</c:v>
                </c:pt>
                <c:pt idx="45">
                  <c:v>34.469696969696969</c:v>
                </c:pt>
                <c:pt idx="46">
                  <c:v>35.227272727272727</c:v>
                </c:pt>
                <c:pt idx="47">
                  <c:v>35.984848484848484</c:v>
                </c:pt>
                <c:pt idx="48">
                  <c:v>36.742424242424235</c:v>
                </c:pt>
                <c:pt idx="49">
                  <c:v>37.499999999999993</c:v>
                </c:pt>
                <c:pt idx="50">
                  <c:v>38.257575757575751</c:v>
                </c:pt>
                <c:pt idx="51">
                  <c:v>39.015151515151508</c:v>
                </c:pt>
                <c:pt idx="52">
                  <c:v>39.772727272727266</c:v>
                </c:pt>
                <c:pt idx="53">
                  <c:v>40.530303030303024</c:v>
                </c:pt>
                <c:pt idx="54">
                  <c:v>41.287878787878782</c:v>
                </c:pt>
                <c:pt idx="55">
                  <c:v>42.04545454545454</c:v>
                </c:pt>
                <c:pt idx="56">
                  <c:v>42.803030303030297</c:v>
                </c:pt>
                <c:pt idx="57">
                  <c:v>43.560606060606055</c:v>
                </c:pt>
                <c:pt idx="58">
                  <c:v>44.318181818181813</c:v>
                </c:pt>
                <c:pt idx="59">
                  <c:v>45.075757575757571</c:v>
                </c:pt>
                <c:pt idx="60">
                  <c:v>45.833333333333329</c:v>
                </c:pt>
                <c:pt idx="61">
                  <c:v>46.590909090909086</c:v>
                </c:pt>
                <c:pt idx="62">
                  <c:v>47.348484848484844</c:v>
                </c:pt>
                <c:pt idx="63">
                  <c:v>48.106060606060602</c:v>
                </c:pt>
                <c:pt idx="64">
                  <c:v>48.86363636363636</c:v>
                </c:pt>
                <c:pt idx="65">
                  <c:v>49.621212121212118</c:v>
                </c:pt>
                <c:pt idx="66">
                  <c:v>50.378787878787875</c:v>
                </c:pt>
                <c:pt idx="67">
                  <c:v>51.136363636363633</c:v>
                </c:pt>
                <c:pt idx="68">
                  <c:v>51.893939393939391</c:v>
                </c:pt>
                <c:pt idx="69">
                  <c:v>52.651515151515149</c:v>
                </c:pt>
                <c:pt idx="70">
                  <c:v>53.409090909090907</c:v>
                </c:pt>
                <c:pt idx="71">
                  <c:v>54.166666666666664</c:v>
                </c:pt>
                <c:pt idx="72">
                  <c:v>54.924242424242422</c:v>
                </c:pt>
                <c:pt idx="73">
                  <c:v>55.68181818181818</c:v>
                </c:pt>
                <c:pt idx="74">
                  <c:v>56.439393939393938</c:v>
                </c:pt>
                <c:pt idx="75">
                  <c:v>57.196969696969695</c:v>
                </c:pt>
                <c:pt idx="76">
                  <c:v>57.954545454545453</c:v>
                </c:pt>
                <c:pt idx="77">
                  <c:v>58.712121212121211</c:v>
                </c:pt>
                <c:pt idx="78">
                  <c:v>59.469696969696969</c:v>
                </c:pt>
                <c:pt idx="79">
                  <c:v>60.227272727272727</c:v>
                </c:pt>
                <c:pt idx="80">
                  <c:v>60.984848484848484</c:v>
                </c:pt>
                <c:pt idx="81">
                  <c:v>61.742424242424235</c:v>
                </c:pt>
                <c:pt idx="82">
                  <c:v>62.499999999999993</c:v>
                </c:pt>
                <c:pt idx="83">
                  <c:v>63.257575757575751</c:v>
                </c:pt>
                <c:pt idx="84">
                  <c:v>64.015151515151516</c:v>
                </c:pt>
                <c:pt idx="85">
                  <c:v>64.772727272727266</c:v>
                </c:pt>
                <c:pt idx="86">
                  <c:v>65.530303030303031</c:v>
                </c:pt>
                <c:pt idx="87">
                  <c:v>66.287878787878782</c:v>
                </c:pt>
                <c:pt idx="88">
                  <c:v>67.045454545454547</c:v>
                </c:pt>
                <c:pt idx="89">
                  <c:v>67.803030303030297</c:v>
                </c:pt>
                <c:pt idx="90">
                  <c:v>68.560606060606062</c:v>
                </c:pt>
                <c:pt idx="91">
                  <c:v>69.318181818181813</c:v>
                </c:pt>
                <c:pt idx="92">
                  <c:v>70.075757575757578</c:v>
                </c:pt>
                <c:pt idx="93">
                  <c:v>70.833333333333329</c:v>
                </c:pt>
                <c:pt idx="94">
                  <c:v>71.590909090909093</c:v>
                </c:pt>
                <c:pt idx="95">
                  <c:v>72.348484848484844</c:v>
                </c:pt>
                <c:pt idx="96">
                  <c:v>73.106060606060595</c:v>
                </c:pt>
                <c:pt idx="97">
                  <c:v>73.86363636363636</c:v>
                </c:pt>
                <c:pt idx="98">
                  <c:v>74.62121212121211</c:v>
                </c:pt>
                <c:pt idx="99">
                  <c:v>75.378787878787875</c:v>
                </c:pt>
                <c:pt idx="100">
                  <c:v>76.136363636363626</c:v>
                </c:pt>
                <c:pt idx="101">
                  <c:v>76.893939393939391</c:v>
                </c:pt>
                <c:pt idx="102">
                  <c:v>77.651515151515142</c:v>
                </c:pt>
                <c:pt idx="103">
                  <c:v>78.409090909090907</c:v>
                </c:pt>
                <c:pt idx="104">
                  <c:v>79.166666666666657</c:v>
                </c:pt>
                <c:pt idx="105">
                  <c:v>79.924242424242422</c:v>
                </c:pt>
                <c:pt idx="106">
                  <c:v>80.681818181818173</c:v>
                </c:pt>
                <c:pt idx="107">
                  <c:v>81.439393939393938</c:v>
                </c:pt>
                <c:pt idx="108">
                  <c:v>82.196969696969688</c:v>
                </c:pt>
                <c:pt idx="109">
                  <c:v>82.954545454545453</c:v>
                </c:pt>
                <c:pt idx="110">
                  <c:v>83.712121212121204</c:v>
                </c:pt>
                <c:pt idx="111">
                  <c:v>84.469696969696969</c:v>
                </c:pt>
                <c:pt idx="112">
                  <c:v>85.22727272727272</c:v>
                </c:pt>
                <c:pt idx="113">
                  <c:v>85.984848484848484</c:v>
                </c:pt>
                <c:pt idx="114">
                  <c:v>86.742424242424235</c:v>
                </c:pt>
                <c:pt idx="115">
                  <c:v>87.5</c:v>
                </c:pt>
                <c:pt idx="116">
                  <c:v>88.257575757575751</c:v>
                </c:pt>
                <c:pt idx="117">
                  <c:v>89.015151515151516</c:v>
                </c:pt>
                <c:pt idx="118">
                  <c:v>89.772727272727266</c:v>
                </c:pt>
                <c:pt idx="119">
                  <c:v>90.530303030303031</c:v>
                </c:pt>
                <c:pt idx="120">
                  <c:v>91.287878787878782</c:v>
                </c:pt>
                <c:pt idx="121">
                  <c:v>92.045454545454547</c:v>
                </c:pt>
                <c:pt idx="122">
                  <c:v>92.803030303030297</c:v>
                </c:pt>
                <c:pt idx="123">
                  <c:v>93.560606060606062</c:v>
                </c:pt>
                <c:pt idx="124">
                  <c:v>94.318181818181813</c:v>
                </c:pt>
                <c:pt idx="125">
                  <c:v>95.075757575757578</c:v>
                </c:pt>
                <c:pt idx="126">
                  <c:v>95.833333333333329</c:v>
                </c:pt>
                <c:pt idx="127">
                  <c:v>96.590909090909093</c:v>
                </c:pt>
                <c:pt idx="128">
                  <c:v>97.348484848484844</c:v>
                </c:pt>
                <c:pt idx="129">
                  <c:v>98.106060606060595</c:v>
                </c:pt>
                <c:pt idx="130">
                  <c:v>98.86363636363636</c:v>
                </c:pt>
                <c:pt idx="131">
                  <c:v>99.62121212121211</c:v>
                </c:pt>
              </c:numCache>
            </c:numRef>
          </c:xVal>
          <c:yVal>
            <c:numRef>
              <c:f>logaritmoi!$AB$25:$AB$156</c:f>
              <c:numCache>
                <c:formatCode>General</c:formatCode>
                <c:ptCount val="132"/>
                <c:pt idx="0">
                  <c:v>3.784189633918261</c:v>
                </c:pt>
                <c:pt idx="1">
                  <c:v>4.1743872698956368</c:v>
                </c:pt>
                <c:pt idx="2">
                  <c:v>4.219507705176107</c:v>
                </c:pt>
                <c:pt idx="3">
                  <c:v>4.5108595065168497</c:v>
                </c:pt>
                <c:pt idx="4">
                  <c:v>4.6443908991413725</c:v>
                </c:pt>
                <c:pt idx="5">
                  <c:v>4.6634390941120669</c:v>
                </c:pt>
                <c:pt idx="6">
                  <c:v>4.6821312271242199</c:v>
                </c:pt>
                <c:pt idx="7">
                  <c:v>4.7535901911063645</c:v>
                </c:pt>
                <c:pt idx="8">
                  <c:v>4.7621739347977563</c:v>
                </c:pt>
                <c:pt idx="9">
                  <c:v>4.7706846244656651</c:v>
                </c:pt>
                <c:pt idx="10">
                  <c:v>4.7957905455967413</c:v>
                </c:pt>
                <c:pt idx="11">
                  <c:v>4.8040210447332568</c:v>
                </c:pt>
                <c:pt idx="12">
                  <c:v>4.8121843553724171</c:v>
                </c:pt>
                <c:pt idx="13">
                  <c:v>4.8675344504555822</c:v>
                </c:pt>
                <c:pt idx="14">
                  <c:v>4.8675344504555822</c:v>
                </c:pt>
                <c:pt idx="15">
                  <c:v>4.8751973232011512</c:v>
                </c:pt>
                <c:pt idx="16">
                  <c:v>4.8903491282217537</c:v>
                </c:pt>
                <c:pt idx="17">
                  <c:v>4.9126548857360524</c:v>
                </c:pt>
                <c:pt idx="18">
                  <c:v>4.9344739331306915</c:v>
                </c:pt>
                <c:pt idx="19">
                  <c:v>4.9487598903781684</c:v>
                </c:pt>
                <c:pt idx="20">
                  <c:v>4.9698132995760007</c:v>
                </c:pt>
                <c:pt idx="21">
                  <c:v>4.9698132995760007</c:v>
                </c:pt>
                <c:pt idx="22">
                  <c:v>4.9698132995760007</c:v>
                </c:pt>
                <c:pt idx="23">
                  <c:v>4.9767337424205742</c:v>
                </c:pt>
                <c:pt idx="24">
                  <c:v>4.990432586778736</c:v>
                </c:pt>
                <c:pt idx="25">
                  <c:v>5.0039463059454592</c:v>
                </c:pt>
                <c:pt idx="26">
                  <c:v>5.0106352940962555</c:v>
                </c:pt>
                <c:pt idx="27">
                  <c:v>5.0304379213924353</c:v>
                </c:pt>
                <c:pt idx="28">
                  <c:v>5.0434251169192468</c:v>
                </c:pt>
                <c:pt idx="29">
                  <c:v>5.0498560072495371</c:v>
                </c:pt>
                <c:pt idx="30">
                  <c:v>5.0562458053483077</c:v>
                </c:pt>
                <c:pt idx="31">
                  <c:v>5.0689042022202315</c:v>
                </c:pt>
                <c:pt idx="32">
                  <c:v>5.0751738152338266</c:v>
                </c:pt>
                <c:pt idx="33">
                  <c:v>5.0937502008067623</c:v>
                </c:pt>
                <c:pt idx="34">
                  <c:v>5.0937502008067623</c:v>
                </c:pt>
                <c:pt idx="35">
                  <c:v>5.0937502008067623</c:v>
                </c:pt>
                <c:pt idx="36">
                  <c:v>5.1059454739005803</c:v>
                </c:pt>
                <c:pt idx="37">
                  <c:v>5.1239639794032588</c:v>
                </c:pt>
                <c:pt idx="38">
                  <c:v>5.1357984370502621</c:v>
                </c:pt>
                <c:pt idx="39">
                  <c:v>5.1416635565026603</c:v>
                </c:pt>
                <c:pt idx="40">
                  <c:v>5.1532915944977793</c:v>
                </c:pt>
                <c:pt idx="41">
                  <c:v>5.1590552992145291</c:v>
                </c:pt>
                <c:pt idx="42">
                  <c:v>5.1647859739235145</c:v>
                </c:pt>
                <c:pt idx="43">
                  <c:v>5.1647859739235145</c:v>
                </c:pt>
                <c:pt idx="44">
                  <c:v>5.1647859739235145</c:v>
                </c:pt>
                <c:pt idx="45">
                  <c:v>5.1761497325738288</c:v>
                </c:pt>
                <c:pt idx="46">
                  <c:v>5.181783550292085</c:v>
                </c:pt>
                <c:pt idx="47">
                  <c:v>5.181783550292085</c:v>
                </c:pt>
                <c:pt idx="48">
                  <c:v>5.1873858058407549</c:v>
                </c:pt>
                <c:pt idx="49">
                  <c:v>5.1984970312658261</c:v>
                </c:pt>
                <c:pt idx="50">
                  <c:v>5.1984970312658261</c:v>
                </c:pt>
                <c:pt idx="51">
                  <c:v>5.2311086168545868</c:v>
                </c:pt>
                <c:pt idx="52">
                  <c:v>5.2364419628299492</c:v>
                </c:pt>
                <c:pt idx="53">
                  <c:v>5.2470240721604862</c:v>
                </c:pt>
                <c:pt idx="54">
                  <c:v>5.2729995585637468</c:v>
                </c:pt>
                <c:pt idx="55">
                  <c:v>5.2832037287379885</c:v>
                </c:pt>
                <c:pt idx="56">
                  <c:v>5.2832037287379885</c:v>
                </c:pt>
                <c:pt idx="57">
                  <c:v>5.2933048247244923</c:v>
                </c:pt>
                <c:pt idx="58">
                  <c:v>5.3033049080590757</c:v>
                </c:pt>
                <c:pt idx="59">
                  <c:v>5.3132059790417872</c:v>
                </c:pt>
                <c:pt idx="60">
                  <c:v>5.3278761687895813</c:v>
                </c:pt>
                <c:pt idx="61">
                  <c:v>5.3278761687895813</c:v>
                </c:pt>
                <c:pt idx="62">
                  <c:v>5.3327187932653688</c:v>
                </c:pt>
                <c:pt idx="63">
                  <c:v>5.3423342519648109</c:v>
                </c:pt>
                <c:pt idx="64">
                  <c:v>5.3659760150218512</c:v>
                </c:pt>
                <c:pt idx="65">
                  <c:v>5.3752784076841653</c:v>
                </c:pt>
                <c:pt idx="66">
                  <c:v>5.3752784076841653</c:v>
                </c:pt>
                <c:pt idx="67">
                  <c:v>5.3798973535404597</c:v>
                </c:pt>
                <c:pt idx="68">
                  <c:v>5.389071729816501</c:v>
                </c:pt>
                <c:pt idx="69">
                  <c:v>5.4071717714601188</c:v>
                </c:pt>
                <c:pt idx="70">
                  <c:v>5.4161004022044201</c:v>
                </c:pt>
                <c:pt idx="71">
                  <c:v>5.4161004022044201</c:v>
                </c:pt>
                <c:pt idx="72">
                  <c:v>5.4205349992722862</c:v>
                </c:pt>
                <c:pt idx="73">
                  <c:v>5.4249500174814029</c:v>
                </c:pt>
                <c:pt idx="74">
                  <c:v>5.4293456289544411</c:v>
                </c:pt>
                <c:pt idx="75">
                  <c:v>5.43372200355424</c:v>
                </c:pt>
                <c:pt idx="76">
                  <c:v>5.4380793089231956</c:v>
                </c:pt>
                <c:pt idx="77">
                  <c:v>5.4424177105217932</c:v>
                </c:pt>
                <c:pt idx="78">
                  <c:v>5.4510384535657002</c:v>
                </c:pt>
                <c:pt idx="79">
                  <c:v>5.4510384535657002</c:v>
                </c:pt>
                <c:pt idx="80">
                  <c:v>5.4595855141441589</c:v>
                </c:pt>
                <c:pt idx="81">
                  <c:v>5.4806389233419912</c:v>
                </c:pt>
                <c:pt idx="82">
                  <c:v>5.4889377261566867</c:v>
                </c:pt>
                <c:pt idx="83">
                  <c:v>5.4930614433405482</c:v>
                </c:pt>
                <c:pt idx="84">
                  <c:v>5.5012582105447274</c:v>
                </c:pt>
                <c:pt idx="85">
                  <c:v>5.5134287461649825</c:v>
                </c:pt>
                <c:pt idx="86">
                  <c:v>5.5174528964647074</c:v>
                </c:pt>
                <c:pt idx="87">
                  <c:v>5.5174528964647074</c:v>
                </c:pt>
                <c:pt idx="88">
                  <c:v>5.5373342670185366</c:v>
                </c:pt>
                <c:pt idx="89">
                  <c:v>5.5373342670185366</c:v>
                </c:pt>
                <c:pt idx="90">
                  <c:v>5.5490760848952201</c:v>
                </c:pt>
                <c:pt idx="91">
                  <c:v>5.5683445037610966</c:v>
                </c:pt>
                <c:pt idx="92">
                  <c:v>5.5721540321777647</c:v>
                </c:pt>
                <c:pt idx="93">
                  <c:v>5.5721540321777647</c:v>
                </c:pt>
                <c:pt idx="94">
                  <c:v>5.602118820879701</c:v>
                </c:pt>
                <c:pt idx="95">
                  <c:v>5.6058020662959978</c:v>
                </c:pt>
                <c:pt idx="96">
                  <c:v>5.6204008657171496</c:v>
                </c:pt>
                <c:pt idx="97">
                  <c:v>5.6383546693337454</c:v>
                </c:pt>
                <c:pt idx="98">
                  <c:v>5.6419070709381138</c:v>
                </c:pt>
                <c:pt idx="99">
                  <c:v>5.6489742381612063</c:v>
                </c:pt>
                <c:pt idx="100">
                  <c:v>5.6801726090170677</c:v>
                </c:pt>
                <c:pt idx="101">
                  <c:v>5.6903594543240601</c:v>
                </c:pt>
                <c:pt idx="102">
                  <c:v>5.6970934865054046</c:v>
                </c:pt>
                <c:pt idx="103">
                  <c:v>5.7037824746562009</c:v>
                </c:pt>
                <c:pt idx="104">
                  <c:v>5.7104270173748697</c:v>
                </c:pt>
                <c:pt idx="105">
                  <c:v>5.7104270173748697</c:v>
                </c:pt>
                <c:pt idx="106">
                  <c:v>5.7104270173748697</c:v>
                </c:pt>
                <c:pt idx="107">
                  <c:v>5.7365722974791922</c:v>
                </c:pt>
                <c:pt idx="108">
                  <c:v>5.7365722974791922</c:v>
                </c:pt>
                <c:pt idx="109">
                  <c:v>5.7462031905401529</c:v>
                </c:pt>
                <c:pt idx="110">
                  <c:v>5.7620513827801769</c:v>
                </c:pt>
                <c:pt idx="111">
                  <c:v>5.7620513827801769</c:v>
                </c:pt>
                <c:pt idx="112">
                  <c:v>5.7868973813667077</c:v>
                </c:pt>
                <c:pt idx="113">
                  <c:v>5.7868973813667077</c:v>
                </c:pt>
                <c:pt idx="114">
                  <c:v>5.8141305318250662</c:v>
                </c:pt>
                <c:pt idx="115">
                  <c:v>5.8348107370626048</c:v>
                </c:pt>
                <c:pt idx="116">
                  <c:v>5.8377304471659395</c:v>
                </c:pt>
                <c:pt idx="117">
                  <c:v>5.8805329864007003</c:v>
                </c:pt>
                <c:pt idx="118">
                  <c:v>5.8833223884882786</c:v>
                </c:pt>
                <c:pt idx="119">
                  <c:v>5.8916442118257715</c:v>
                </c:pt>
                <c:pt idx="120">
                  <c:v>5.9107966440405271</c:v>
                </c:pt>
                <c:pt idx="121">
                  <c:v>5.9135030056382698</c:v>
                </c:pt>
                <c:pt idx="122">
                  <c:v>5.9135030056382698</c:v>
                </c:pt>
                <c:pt idx="123">
                  <c:v>5.9532433342877846</c:v>
                </c:pt>
                <c:pt idx="124">
                  <c:v>5.955837369464831</c:v>
                </c:pt>
                <c:pt idx="125">
                  <c:v>6.0330862217988015</c:v>
                </c:pt>
                <c:pt idx="126">
                  <c:v>6.0520891689244172</c:v>
                </c:pt>
                <c:pt idx="127">
                  <c:v>6.0913098820776979</c:v>
                </c:pt>
                <c:pt idx="128">
                  <c:v>6.1114673395026786</c:v>
                </c:pt>
                <c:pt idx="129">
                  <c:v>6.1944053911046719</c:v>
                </c:pt>
                <c:pt idx="130">
                  <c:v>6.300785794663244</c:v>
                </c:pt>
                <c:pt idx="131">
                  <c:v>6.7190131543852596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38848"/>
        <c:axId val="173841728"/>
      </c:scatterChart>
      <c:valAx>
        <c:axId val="173838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Sample Percentile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3841728"/>
        <c:crosses val="autoZero"/>
        <c:crossBetween val="midCat"/>
      </c:valAx>
      <c:valAx>
        <c:axId val="1738417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t(monthly)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38388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t(monthly)  Residual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logaritmoi!$A$2:$A$133</c:f>
              <c:numCache>
                <c:formatCode>General</c:formatCode>
                <c:ptCount val="1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</c:numCache>
            </c:numRef>
          </c:xVal>
          <c:yVal>
            <c:numRef>
              <c:f>logaritmoi!$X$25:$X$156</c:f>
              <c:numCache>
                <c:formatCode>General</c:formatCode>
                <c:ptCount val="132"/>
                <c:pt idx="0">
                  <c:v>0.37984500188839299</c:v>
                </c:pt>
                <c:pt idx="1">
                  <c:v>-0.41205675102376915</c:v>
                </c:pt>
                <c:pt idx="2">
                  <c:v>9.6351493979463854E-2</c:v>
                </c:pt>
                <c:pt idx="3">
                  <c:v>8.0685341870620597E-2</c:v>
                </c:pt>
                <c:pt idx="4">
                  <c:v>9.3380524780662277E-2</c:v>
                </c:pt>
                <c:pt idx="5">
                  <c:v>4.3093018080310408E-2</c:v>
                </c:pt>
                <c:pt idx="6">
                  <c:v>0.1962970122960126</c:v>
                </c:pt>
                <c:pt idx="7">
                  <c:v>-0.33913627108925226</c:v>
                </c:pt>
                <c:pt idx="8">
                  <c:v>-0.30159155461228071</c:v>
                </c:pt>
                <c:pt idx="9">
                  <c:v>-0.197260107068014</c:v>
                </c:pt>
                <c:pt idx="10">
                  <c:v>-0.24668293580701306</c:v>
                </c:pt>
                <c:pt idx="11">
                  <c:v>-0.89901207454501719</c:v>
                </c:pt>
                <c:pt idx="12">
                  <c:v>6.4563632661101877E-2</c:v>
                </c:pt>
                <c:pt idx="13">
                  <c:v>-0.48273366749680946</c:v>
                </c:pt>
                <c:pt idx="14">
                  <c:v>-0.24107783187495713</c:v>
                </c:pt>
                <c:pt idx="15">
                  <c:v>-4.1979152748477411E-2</c:v>
                </c:pt>
                <c:pt idx="16">
                  <c:v>2.4754226909745825E-2</c:v>
                </c:pt>
                <c:pt idx="17">
                  <c:v>-5.0583939665535205E-2</c:v>
                </c:pt>
                <c:pt idx="18">
                  <c:v>-9.8780526681289338E-2</c:v>
                </c:pt>
                <c:pt idx="19">
                  <c:v>-0.34075457201693826</c:v>
                </c:pt>
                <c:pt idx="20">
                  <c:v>-0.18050757842731002</c:v>
                </c:pt>
                <c:pt idx="21">
                  <c:v>0.12166001443157626</c:v>
                </c:pt>
                <c:pt idx="22">
                  <c:v>6.5262509089645704E-2</c:v>
                </c:pt>
                <c:pt idx="23">
                  <c:v>-0.23567456809277854</c:v>
                </c:pt>
                <c:pt idx="24">
                  <c:v>0.50572171433506874</c:v>
                </c:pt>
                <c:pt idx="25">
                  <c:v>-0.12250748279222012</c:v>
                </c:pt>
                <c:pt idx="26">
                  <c:v>-5.9091702195797957E-2</c:v>
                </c:pt>
                <c:pt idx="27">
                  <c:v>-2.8302775843056516E-2</c:v>
                </c:pt>
                <c:pt idx="28">
                  <c:v>0.64315026854649027</c:v>
                </c:pt>
                <c:pt idx="29">
                  <c:v>0.22898715550675952</c:v>
                </c:pt>
                <c:pt idx="30">
                  <c:v>0.13245353783219649</c:v>
                </c:pt>
                <c:pt idx="31">
                  <c:v>-0.19393235479544568</c:v>
                </c:pt>
                <c:pt idx="32">
                  <c:v>-6.720648584756983E-2</c:v>
                </c:pt>
                <c:pt idx="33">
                  <c:v>0.16672491773170073</c:v>
                </c:pt>
                <c:pt idx="34">
                  <c:v>-0.21352852332182781</c:v>
                </c:pt>
                <c:pt idx="35">
                  <c:v>-3.9993672433730865E-2</c:v>
                </c:pt>
                <c:pt idx="36">
                  <c:v>0.18109215527577405</c:v>
                </c:pt>
                <c:pt idx="37">
                  <c:v>-0.16147780742264217</c:v>
                </c:pt>
                <c:pt idx="38">
                  <c:v>0.50188789437778958</c:v>
                </c:pt>
                <c:pt idx="39">
                  <c:v>0.67451620907833831</c:v>
                </c:pt>
                <c:pt idx="40">
                  <c:v>0.39861788091965344</c:v>
                </c:pt>
                <c:pt idx="41">
                  <c:v>0.16850881872743084</c:v>
                </c:pt>
                <c:pt idx="42">
                  <c:v>0.12338443074864713</c:v>
                </c:pt>
                <c:pt idx="43">
                  <c:v>-0.38866191993846488</c:v>
                </c:pt>
                <c:pt idx="44">
                  <c:v>6.7377404937005281E-2</c:v>
                </c:pt>
                <c:pt idx="45">
                  <c:v>-0.27436857053236885</c:v>
                </c:pt>
                <c:pt idx="46">
                  <c:v>1.4100177968354721E-2</c:v>
                </c:pt>
                <c:pt idx="47">
                  <c:v>3.9800034813624485E-2</c:v>
                </c:pt>
                <c:pt idx="48">
                  <c:v>-0.20253452245286496</c:v>
                </c:pt>
                <c:pt idx="49">
                  <c:v>-8.3513699879393499E-2</c:v>
                </c:pt>
                <c:pt idx="50">
                  <c:v>0.12978727760067166</c:v>
                </c:pt>
                <c:pt idx="51">
                  <c:v>0.74247070373652413</c:v>
                </c:pt>
                <c:pt idx="52">
                  <c:v>0.79639197055689159</c:v>
                </c:pt>
                <c:pt idx="53">
                  <c:v>0.20203790556539225</c:v>
                </c:pt>
                <c:pt idx="54">
                  <c:v>0.26863133373990067</c:v>
                </c:pt>
                <c:pt idx="55">
                  <c:v>-0.53714046743072785</c:v>
                </c:pt>
                <c:pt idx="56">
                  <c:v>-0.34231418577892114</c:v>
                </c:pt>
                <c:pt idx="57">
                  <c:v>-0.34661657923745004</c:v>
                </c:pt>
                <c:pt idx="58">
                  <c:v>-8.429030944203042E-2</c:v>
                </c:pt>
                <c:pt idx="59">
                  <c:v>-0.81417515921365879</c:v>
                </c:pt>
                <c:pt idx="60">
                  <c:v>0.40723523829015473</c:v>
                </c:pt>
                <c:pt idx="61">
                  <c:v>8.6895546624719877E-2</c:v>
                </c:pt>
                <c:pt idx="62">
                  <c:v>0.19939242091244225</c:v>
                </c:pt>
                <c:pt idx="63">
                  <c:v>0.61099909472316138</c:v>
                </c:pt>
                <c:pt idx="64">
                  <c:v>0.41550474975702478</c:v>
                </c:pt>
                <c:pt idx="65">
                  <c:v>0.41120235629849589</c:v>
                </c:pt>
                <c:pt idx="66">
                  <c:v>-0.15665438867438386</c:v>
                </c:pt>
                <c:pt idx="67">
                  <c:v>-0.20616221890095954</c:v>
                </c:pt>
                <c:pt idx="68">
                  <c:v>0.14967253930771474</c:v>
                </c:pt>
                <c:pt idx="69">
                  <c:v>0.20028590344529995</c:v>
                </c:pt>
                <c:pt idx="70">
                  <c:v>-3.002674180951459E-2</c:v>
                </c:pt>
                <c:pt idx="71">
                  <c:v>-7.335847917377869E-2</c:v>
                </c:pt>
                <c:pt idx="72">
                  <c:v>0.36523740984876962</c:v>
                </c:pt>
                <c:pt idx="73">
                  <c:v>-0.4154548745739115</c:v>
                </c:pt>
                <c:pt idx="74">
                  <c:v>-6.1694398818859852E-2</c:v>
                </c:pt>
                <c:pt idx="75">
                  <c:v>0.30990951358923091</c:v>
                </c:pt>
                <c:pt idx="76">
                  <c:v>0.22222551119165068</c:v>
                </c:pt>
                <c:pt idx="77">
                  <c:v>0.28788170634003318</c:v>
                </c:pt>
                <c:pt idx="78">
                  <c:v>0.2315745278911896</c:v>
                </c:pt>
                <c:pt idx="79">
                  <c:v>0.40304799692398152</c:v>
                </c:pt>
                <c:pt idx="80">
                  <c:v>-1.6311952944413526</c:v>
                </c:pt>
                <c:pt idx="81">
                  <c:v>-0.1466877632543957</c:v>
                </c:pt>
                <c:pt idx="82">
                  <c:v>-0.47522982489850296</c:v>
                </c:pt>
                <c:pt idx="83">
                  <c:v>-0.55309478553404912</c:v>
                </c:pt>
                <c:pt idx="84">
                  <c:v>0.48090850344454061</c:v>
                </c:pt>
                <c:pt idx="85">
                  <c:v>4.3742027689733121E-2</c:v>
                </c:pt>
                <c:pt idx="86">
                  <c:v>-5.212755929428603E-2</c:v>
                </c:pt>
                <c:pt idx="87">
                  <c:v>0.60658748635510129</c:v>
                </c:pt>
                <c:pt idx="88">
                  <c:v>0.66166326347483384</c:v>
                </c:pt>
                <c:pt idx="89">
                  <c:v>0.50173089997845732</c:v>
                </c:pt>
                <c:pt idx="90">
                  <c:v>0.84237693171834227</c:v>
                </c:pt>
                <c:pt idx="91">
                  <c:v>1.256301897981829</c:v>
                </c:pt>
                <c:pt idx="92">
                  <c:v>-1.2926263799663227</c:v>
                </c:pt>
                <c:pt idx="93">
                  <c:v>-0.67552549772374704</c:v>
                </c:pt>
                <c:pt idx="94">
                  <c:v>6.171583023951932E-2</c:v>
                </c:pt>
                <c:pt idx="95">
                  <c:v>-0.72633063913118168</c:v>
                </c:pt>
                <c:pt idx="96">
                  <c:v>0.39630976270462526</c:v>
                </c:pt>
                <c:pt idx="97">
                  <c:v>-0.2415015449941178</c:v>
                </c:pt>
                <c:pt idx="98">
                  <c:v>-0.81069678348891294</c:v>
                </c:pt>
                <c:pt idx="99">
                  <c:v>-0.3323444301481473</c:v>
                </c:pt>
                <c:pt idx="100">
                  <c:v>-0.13545678250833948</c:v>
                </c:pt>
                <c:pt idx="101">
                  <c:v>0.19135829551668504</c:v>
                </c:pt>
                <c:pt idx="102">
                  <c:v>0.27685979691945928</c:v>
                </c:pt>
                <c:pt idx="103">
                  <c:v>-0.13906157022161203</c:v>
                </c:pt>
                <c:pt idx="104">
                  <c:v>-0.41269689746372595</c:v>
                </c:pt>
                <c:pt idx="105">
                  <c:v>-8.9222761268594297E-2</c:v>
                </c:pt>
                <c:pt idx="106">
                  <c:v>4.4906873896401578E-2</c:v>
                </c:pt>
                <c:pt idx="107">
                  <c:v>-0.48812443482064527</c:v>
                </c:pt>
                <c:pt idx="108">
                  <c:v>-7.6266431054262007E-2</c:v>
                </c:pt>
                <c:pt idx="109">
                  <c:v>-5.1216612500263103E-2</c:v>
                </c:pt>
                <c:pt idx="110">
                  <c:v>0.16597028525939095</c:v>
                </c:pt>
                <c:pt idx="111">
                  <c:v>0.36203751846651944</c:v>
                </c:pt>
                <c:pt idx="112">
                  <c:v>0.2338358623341712</c:v>
                </c:pt>
                <c:pt idx="113">
                  <c:v>0.63704147861360649</c:v>
                </c:pt>
                <c:pt idx="114">
                  <c:v>-0.13232067699515326</c:v>
                </c:pt>
                <c:pt idx="115">
                  <c:v>-1.6892614512903137E-2</c:v>
                </c:pt>
                <c:pt idx="116">
                  <c:v>-5.2818196401944739E-2</c:v>
                </c:pt>
                <c:pt idx="117">
                  <c:v>0.13585353104968867</c:v>
                </c:pt>
                <c:pt idx="118">
                  <c:v>0.13155113759116066</c:v>
                </c:pt>
                <c:pt idx="119">
                  <c:v>-9.0116829901689677E-2</c:v>
                </c:pt>
                <c:pt idx="120">
                  <c:v>-0.13644221313506666</c:v>
                </c:pt>
                <c:pt idx="121">
                  <c:v>-0.15370375123610014</c:v>
                </c:pt>
                <c:pt idx="122">
                  <c:v>5.2888784543381639E-2</c:v>
                </c:pt>
                <c:pt idx="123">
                  <c:v>0.23734260008958596</c:v>
                </c:pt>
                <c:pt idx="124">
                  <c:v>0.27863214795339619</c:v>
                </c:pt>
                <c:pt idx="125">
                  <c:v>0.28265157783236017</c:v>
                </c:pt>
                <c:pt idx="126">
                  <c:v>-1.1176206572239167E-2</c:v>
                </c:pt>
                <c:pt idx="127">
                  <c:v>-0.58715949951803381</c:v>
                </c:pt>
                <c:pt idx="128">
                  <c:v>-0.17948210384720475</c:v>
                </c:pt>
                <c:pt idx="129">
                  <c:v>-0.53245200702076456</c:v>
                </c:pt>
                <c:pt idx="130">
                  <c:v>-2.4702534990058034E-2</c:v>
                </c:pt>
                <c:pt idx="131">
                  <c:v>-0.11735409827987731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019392"/>
        <c:axId val="174139072"/>
      </c:scatterChart>
      <c:valAx>
        <c:axId val="146019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t(monthly)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4139072"/>
        <c:crosses val="autoZero"/>
        <c:crossBetween val="midCat"/>
      </c:valAx>
      <c:valAx>
        <c:axId val="1741390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460193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t(monthly) Line Fit 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loge(y)</c:v>
          </c:tx>
          <c:spPr>
            <a:ln w="28575">
              <a:noFill/>
            </a:ln>
          </c:spPr>
          <c:xVal>
            <c:numRef>
              <c:f>logaritmoi!$A$2:$A$133</c:f>
              <c:numCache>
                <c:formatCode>General</c:formatCode>
                <c:ptCount val="1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</c:numCache>
            </c:numRef>
          </c:xVal>
          <c:yVal>
            <c:numRef>
              <c:f>logaritmoi!$B$2:$B$133</c:f>
              <c:numCache>
                <c:formatCode>General</c:formatCode>
                <c:ptCount val="132"/>
                <c:pt idx="0">
                  <c:v>5.4510384535657002</c:v>
                </c:pt>
                <c:pt idx="1">
                  <c:v>4.6634390941120669</c:v>
                </c:pt>
                <c:pt idx="2">
                  <c:v>5.1761497325738288</c:v>
                </c:pt>
                <c:pt idx="3">
                  <c:v>5.1647859739235145</c:v>
                </c:pt>
                <c:pt idx="4">
                  <c:v>5.181783550292085</c:v>
                </c:pt>
                <c:pt idx="5">
                  <c:v>5.1357984370502621</c:v>
                </c:pt>
                <c:pt idx="6">
                  <c:v>5.2933048247244923</c:v>
                </c:pt>
                <c:pt idx="7">
                  <c:v>4.7621739347977563</c:v>
                </c:pt>
                <c:pt idx="8">
                  <c:v>4.8040210447332568</c:v>
                </c:pt>
                <c:pt idx="9">
                  <c:v>4.9126548857360524</c:v>
                </c:pt>
                <c:pt idx="10">
                  <c:v>4.8675344504555822</c:v>
                </c:pt>
                <c:pt idx="11">
                  <c:v>4.219507705176107</c:v>
                </c:pt>
                <c:pt idx="12">
                  <c:v>5.1873858058407549</c:v>
                </c:pt>
                <c:pt idx="13">
                  <c:v>4.6443908991413725</c:v>
                </c:pt>
                <c:pt idx="14">
                  <c:v>4.8903491282217537</c:v>
                </c:pt>
                <c:pt idx="15">
                  <c:v>5.0937502008067623</c:v>
                </c:pt>
                <c:pt idx="16">
                  <c:v>5.1647859739235145</c:v>
                </c:pt>
                <c:pt idx="17">
                  <c:v>5.0937502008067623</c:v>
                </c:pt>
                <c:pt idx="18">
                  <c:v>5.0498560072495371</c:v>
                </c:pt>
                <c:pt idx="19">
                  <c:v>4.8121843553724171</c:v>
                </c:pt>
                <c:pt idx="20">
                  <c:v>4.9767337424205742</c:v>
                </c:pt>
                <c:pt idx="21">
                  <c:v>5.2832037287379885</c:v>
                </c:pt>
                <c:pt idx="22">
                  <c:v>5.2311086168545868</c:v>
                </c:pt>
                <c:pt idx="23">
                  <c:v>4.9344739331306915</c:v>
                </c:pt>
                <c:pt idx="24">
                  <c:v>5.6801726090170677</c:v>
                </c:pt>
                <c:pt idx="25">
                  <c:v>5.0562458053483077</c:v>
                </c:pt>
                <c:pt idx="26">
                  <c:v>5.1239639794032588</c:v>
                </c:pt>
                <c:pt idx="27">
                  <c:v>5.1590552992145291</c:v>
                </c:pt>
                <c:pt idx="28">
                  <c:v>5.8348107370626048</c:v>
                </c:pt>
                <c:pt idx="29">
                  <c:v>5.4249500174814029</c:v>
                </c:pt>
                <c:pt idx="30">
                  <c:v>5.3327187932653688</c:v>
                </c:pt>
                <c:pt idx="31">
                  <c:v>5.0106352940962555</c:v>
                </c:pt>
                <c:pt idx="32">
                  <c:v>5.1416635565026603</c:v>
                </c:pt>
                <c:pt idx="33">
                  <c:v>5.3798973535404597</c:v>
                </c:pt>
                <c:pt idx="34">
                  <c:v>5.0039463059454592</c:v>
                </c:pt>
                <c:pt idx="35">
                  <c:v>5.181783550292085</c:v>
                </c:pt>
                <c:pt idx="36">
                  <c:v>5.4071717714601188</c:v>
                </c:pt>
                <c:pt idx="37">
                  <c:v>5.0689042022202315</c:v>
                </c:pt>
                <c:pt idx="38">
                  <c:v>5.7365722974791922</c:v>
                </c:pt>
                <c:pt idx="39">
                  <c:v>5.9135030056382698</c:v>
                </c:pt>
                <c:pt idx="40">
                  <c:v>5.6419070709381138</c:v>
                </c:pt>
                <c:pt idx="41">
                  <c:v>5.4161004022044201</c:v>
                </c:pt>
                <c:pt idx="42">
                  <c:v>5.3752784076841653</c:v>
                </c:pt>
                <c:pt idx="43">
                  <c:v>4.8675344504555822</c:v>
                </c:pt>
                <c:pt idx="44">
                  <c:v>5.3278761687895813</c:v>
                </c:pt>
                <c:pt idx="45">
                  <c:v>4.990432586778736</c:v>
                </c:pt>
                <c:pt idx="46">
                  <c:v>5.2832037287379885</c:v>
                </c:pt>
                <c:pt idx="47">
                  <c:v>5.3132059790417872</c:v>
                </c:pt>
                <c:pt idx="48">
                  <c:v>5.0751738152338266</c:v>
                </c:pt>
                <c:pt idx="49">
                  <c:v>5.1984970312658261</c:v>
                </c:pt>
                <c:pt idx="50">
                  <c:v>5.4161004022044201</c:v>
                </c:pt>
                <c:pt idx="51">
                  <c:v>6.0330862217988015</c:v>
                </c:pt>
                <c:pt idx="52">
                  <c:v>6.0913098820776979</c:v>
                </c:pt>
                <c:pt idx="53">
                  <c:v>5.5012582105447274</c:v>
                </c:pt>
                <c:pt idx="54">
                  <c:v>5.5721540321777647</c:v>
                </c:pt>
                <c:pt idx="55">
                  <c:v>4.7706846244656651</c:v>
                </c:pt>
                <c:pt idx="56">
                  <c:v>4.9698132995760007</c:v>
                </c:pt>
                <c:pt idx="57">
                  <c:v>4.9698132995760007</c:v>
                </c:pt>
                <c:pt idx="58">
                  <c:v>5.2364419628299492</c:v>
                </c:pt>
                <c:pt idx="59">
                  <c:v>4.5108595065168497</c:v>
                </c:pt>
                <c:pt idx="60">
                  <c:v>5.7365722974791922</c:v>
                </c:pt>
                <c:pt idx="61">
                  <c:v>5.4205349992722862</c:v>
                </c:pt>
                <c:pt idx="62">
                  <c:v>5.5373342670185366</c:v>
                </c:pt>
                <c:pt idx="63">
                  <c:v>5.9532433342877846</c:v>
                </c:pt>
                <c:pt idx="64">
                  <c:v>5.7620513827801769</c:v>
                </c:pt>
                <c:pt idx="65">
                  <c:v>5.7620513827801769</c:v>
                </c:pt>
                <c:pt idx="66">
                  <c:v>5.1984970312658261</c:v>
                </c:pt>
                <c:pt idx="67">
                  <c:v>5.1532915944977793</c:v>
                </c:pt>
                <c:pt idx="68">
                  <c:v>5.5134287461649825</c:v>
                </c:pt>
                <c:pt idx="69">
                  <c:v>5.5683445037610966</c:v>
                </c:pt>
                <c:pt idx="70">
                  <c:v>5.3423342519648109</c:v>
                </c:pt>
                <c:pt idx="71">
                  <c:v>5.3033049080590757</c:v>
                </c:pt>
                <c:pt idx="72">
                  <c:v>5.7462031905401529</c:v>
                </c:pt>
                <c:pt idx="73">
                  <c:v>4.9698132995760007</c:v>
                </c:pt>
                <c:pt idx="74">
                  <c:v>5.3278761687895813</c:v>
                </c:pt>
                <c:pt idx="75">
                  <c:v>5.7037824746562009</c:v>
                </c:pt>
                <c:pt idx="76">
                  <c:v>5.6204008657171496</c:v>
                </c:pt>
                <c:pt idx="77">
                  <c:v>5.6903594543240601</c:v>
                </c:pt>
                <c:pt idx="78">
                  <c:v>5.6383546693337454</c:v>
                </c:pt>
                <c:pt idx="79">
                  <c:v>5.8141305318250662</c:v>
                </c:pt>
                <c:pt idx="80">
                  <c:v>3.784189633918261</c:v>
                </c:pt>
                <c:pt idx="81">
                  <c:v>5.2729995585637468</c:v>
                </c:pt>
                <c:pt idx="82">
                  <c:v>4.9487598903781684</c:v>
                </c:pt>
                <c:pt idx="83">
                  <c:v>4.8751973232011512</c:v>
                </c:pt>
                <c:pt idx="84">
                  <c:v>5.9135030056382698</c:v>
                </c:pt>
                <c:pt idx="85">
                  <c:v>5.4806389233419912</c:v>
                </c:pt>
                <c:pt idx="86">
                  <c:v>5.389071729816501</c:v>
                </c:pt>
                <c:pt idx="87">
                  <c:v>6.0520891689244172</c:v>
                </c:pt>
                <c:pt idx="88">
                  <c:v>6.1114673395026786</c:v>
                </c:pt>
                <c:pt idx="89">
                  <c:v>5.955837369464831</c:v>
                </c:pt>
                <c:pt idx="90">
                  <c:v>6.300785794663244</c:v>
                </c:pt>
                <c:pt idx="91">
                  <c:v>6.7190131543852596</c:v>
                </c:pt>
                <c:pt idx="92">
                  <c:v>4.1743872698956368</c:v>
                </c:pt>
                <c:pt idx="93">
                  <c:v>4.7957905455967413</c:v>
                </c:pt>
                <c:pt idx="94">
                  <c:v>5.5373342670185366</c:v>
                </c:pt>
                <c:pt idx="95">
                  <c:v>4.7535901911063645</c:v>
                </c:pt>
                <c:pt idx="96">
                  <c:v>5.8805329864007003</c:v>
                </c:pt>
                <c:pt idx="97">
                  <c:v>5.2470240721604862</c:v>
                </c:pt>
                <c:pt idx="98">
                  <c:v>4.6821312271242199</c:v>
                </c:pt>
                <c:pt idx="99">
                  <c:v>5.1647859739235145</c:v>
                </c:pt>
                <c:pt idx="100">
                  <c:v>5.3659760150218512</c:v>
                </c:pt>
                <c:pt idx="101">
                  <c:v>5.6970934865054046</c:v>
                </c:pt>
                <c:pt idx="102">
                  <c:v>5.7868973813667077</c:v>
                </c:pt>
                <c:pt idx="103">
                  <c:v>5.3752784076841653</c:v>
                </c:pt>
                <c:pt idx="104">
                  <c:v>5.1059454739005803</c:v>
                </c:pt>
                <c:pt idx="105">
                  <c:v>5.43372200355424</c:v>
                </c:pt>
                <c:pt idx="106">
                  <c:v>5.5721540321777647</c:v>
                </c:pt>
                <c:pt idx="107">
                  <c:v>5.0434251169192468</c:v>
                </c:pt>
                <c:pt idx="108">
                  <c:v>5.4595855141441589</c:v>
                </c:pt>
                <c:pt idx="109">
                  <c:v>5.4889377261566867</c:v>
                </c:pt>
                <c:pt idx="110">
                  <c:v>5.7104270173748697</c:v>
                </c:pt>
                <c:pt idx="111">
                  <c:v>5.9107966440405271</c:v>
                </c:pt>
                <c:pt idx="112">
                  <c:v>5.7868973813667077</c:v>
                </c:pt>
                <c:pt idx="113">
                  <c:v>6.1944053911046719</c:v>
                </c:pt>
                <c:pt idx="114">
                  <c:v>5.4293456289544411</c:v>
                </c:pt>
                <c:pt idx="115">
                  <c:v>5.5490760848952201</c:v>
                </c:pt>
                <c:pt idx="116">
                  <c:v>5.5174528964647074</c:v>
                </c:pt>
                <c:pt idx="117">
                  <c:v>5.7104270173748697</c:v>
                </c:pt>
                <c:pt idx="118">
                  <c:v>5.7104270173748697</c:v>
                </c:pt>
                <c:pt idx="119">
                  <c:v>5.4930614433405482</c:v>
                </c:pt>
                <c:pt idx="120">
                  <c:v>5.4510384535657002</c:v>
                </c:pt>
                <c:pt idx="121">
                  <c:v>5.4380793089231956</c:v>
                </c:pt>
                <c:pt idx="122">
                  <c:v>5.6489742381612063</c:v>
                </c:pt>
                <c:pt idx="123">
                  <c:v>5.8377304471659395</c:v>
                </c:pt>
                <c:pt idx="124">
                  <c:v>5.8833223884882786</c:v>
                </c:pt>
                <c:pt idx="125">
                  <c:v>5.8916442118257715</c:v>
                </c:pt>
                <c:pt idx="126">
                  <c:v>5.602118820879701</c:v>
                </c:pt>
                <c:pt idx="127">
                  <c:v>5.0304379213924353</c:v>
                </c:pt>
                <c:pt idx="128">
                  <c:v>5.4424177105217932</c:v>
                </c:pt>
                <c:pt idx="129">
                  <c:v>5.0937502008067623</c:v>
                </c:pt>
                <c:pt idx="130">
                  <c:v>5.6058020662959978</c:v>
                </c:pt>
                <c:pt idx="131">
                  <c:v>5.5174528964647074</c:v>
                </c:pt>
              </c:numCache>
            </c:numRef>
          </c:yVal>
          <c:smooth val="0"/>
        </c:ser>
        <c:ser>
          <c:idx val="1"/>
          <c:order val="1"/>
          <c:tx>
            <c:v>Predicted loge(y)</c:v>
          </c:tx>
          <c:spPr>
            <a:ln w="28575">
              <a:noFill/>
            </a:ln>
          </c:spPr>
          <c:xVal>
            <c:numRef>
              <c:f>logaritmoi!$A$2:$A$133</c:f>
              <c:numCache>
                <c:formatCode>General</c:formatCode>
                <c:ptCount val="1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</c:numCache>
            </c:numRef>
          </c:xVal>
          <c:yVal>
            <c:numRef>
              <c:f>logaritmoi!$W$25:$W$156</c:f>
              <c:numCache>
                <c:formatCode>General</c:formatCode>
                <c:ptCount val="132"/>
                <c:pt idx="0">
                  <c:v>5.0711934516773072</c:v>
                </c:pt>
                <c:pt idx="1">
                  <c:v>5.0754958451358361</c:v>
                </c:pt>
                <c:pt idx="2">
                  <c:v>5.079798238594365</c:v>
                </c:pt>
                <c:pt idx="3">
                  <c:v>5.0841006320528939</c:v>
                </c:pt>
                <c:pt idx="4">
                  <c:v>5.0884030255114228</c:v>
                </c:pt>
                <c:pt idx="5">
                  <c:v>5.0927054189699517</c:v>
                </c:pt>
                <c:pt idx="6">
                  <c:v>5.0970078124284797</c:v>
                </c:pt>
                <c:pt idx="7">
                  <c:v>5.1013102058870086</c:v>
                </c:pt>
                <c:pt idx="8">
                  <c:v>5.1056125993455375</c:v>
                </c:pt>
                <c:pt idx="9">
                  <c:v>5.1099149928040664</c:v>
                </c:pt>
                <c:pt idx="10">
                  <c:v>5.1142173862625953</c:v>
                </c:pt>
                <c:pt idx="11">
                  <c:v>5.1185197797211242</c:v>
                </c:pt>
                <c:pt idx="12">
                  <c:v>5.122822173179653</c:v>
                </c:pt>
                <c:pt idx="13">
                  <c:v>5.1271245666381819</c:v>
                </c:pt>
                <c:pt idx="14">
                  <c:v>5.1314269600967108</c:v>
                </c:pt>
                <c:pt idx="15">
                  <c:v>5.1357293535552397</c:v>
                </c:pt>
                <c:pt idx="16">
                  <c:v>5.1400317470137686</c:v>
                </c:pt>
                <c:pt idx="17">
                  <c:v>5.1443341404722975</c:v>
                </c:pt>
                <c:pt idx="18">
                  <c:v>5.1486365339308264</c:v>
                </c:pt>
                <c:pt idx="19">
                  <c:v>5.1529389273893553</c:v>
                </c:pt>
                <c:pt idx="20">
                  <c:v>5.1572413208478842</c:v>
                </c:pt>
                <c:pt idx="21">
                  <c:v>5.1615437143064122</c:v>
                </c:pt>
                <c:pt idx="22">
                  <c:v>5.1658461077649411</c:v>
                </c:pt>
                <c:pt idx="23">
                  <c:v>5.17014850122347</c:v>
                </c:pt>
                <c:pt idx="24">
                  <c:v>5.1744508946819989</c:v>
                </c:pt>
                <c:pt idx="25">
                  <c:v>5.1787532881405278</c:v>
                </c:pt>
                <c:pt idx="26">
                  <c:v>5.1830556815990567</c:v>
                </c:pt>
                <c:pt idx="27">
                  <c:v>5.1873580750575856</c:v>
                </c:pt>
                <c:pt idx="28">
                  <c:v>5.1916604685161145</c:v>
                </c:pt>
                <c:pt idx="29">
                  <c:v>5.1959628619746434</c:v>
                </c:pt>
                <c:pt idx="30">
                  <c:v>5.2002652554331723</c:v>
                </c:pt>
                <c:pt idx="31">
                  <c:v>5.2045676488917012</c:v>
                </c:pt>
                <c:pt idx="32">
                  <c:v>5.2088700423502301</c:v>
                </c:pt>
                <c:pt idx="33">
                  <c:v>5.213172435808759</c:v>
                </c:pt>
                <c:pt idx="34">
                  <c:v>5.217474829267287</c:v>
                </c:pt>
                <c:pt idx="35">
                  <c:v>5.2217772227258159</c:v>
                </c:pt>
                <c:pt idx="36">
                  <c:v>5.2260796161843448</c:v>
                </c:pt>
                <c:pt idx="37">
                  <c:v>5.2303820096428737</c:v>
                </c:pt>
                <c:pt idx="38">
                  <c:v>5.2346844031014026</c:v>
                </c:pt>
                <c:pt idx="39">
                  <c:v>5.2389867965599315</c:v>
                </c:pt>
                <c:pt idx="40">
                  <c:v>5.2432891900184604</c:v>
                </c:pt>
                <c:pt idx="41">
                  <c:v>5.2475915834769893</c:v>
                </c:pt>
                <c:pt idx="42">
                  <c:v>5.2518939769355182</c:v>
                </c:pt>
                <c:pt idx="43">
                  <c:v>5.2561963703940471</c:v>
                </c:pt>
                <c:pt idx="44">
                  <c:v>5.260498763852576</c:v>
                </c:pt>
                <c:pt idx="45">
                  <c:v>5.2648011573111049</c:v>
                </c:pt>
                <c:pt idx="46">
                  <c:v>5.2691035507696338</c:v>
                </c:pt>
                <c:pt idx="47">
                  <c:v>5.2734059442281627</c:v>
                </c:pt>
                <c:pt idx="48">
                  <c:v>5.2777083376866916</c:v>
                </c:pt>
                <c:pt idx="49">
                  <c:v>5.2820107311452196</c:v>
                </c:pt>
                <c:pt idx="50">
                  <c:v>5.2863131246037485</c:v>
                </c:pt>
                <c:pt idx="51">
                  <c:v>5.2906155180622774</c:v>
                </c:pt>
                <c:pt idx="52">
                  <c:v>5.2949179115208063</c:v>
                </c:pt>
                <c:pt idx="53">
                  <c:v>5.2992203049793352</c:v>
                </c:pt>
                <c:pt idx="54">
                  <c:v>5.3035226984378641</c:v>
                </c:pt>
                <c:pt idx="55">
                  <c:v>5.307825091896393</c:v>
                </c:pt>
                <c:pt idx="56">
                  <c:v>5.3121274853549219</c:v>
                </c:pt>
                <c:pt idx="57">
                  <c:v>5.3164298788134507</c:v>
                </c:pt>
                <c:pt idx="58">
                  <c:v>5.3207322722719796</c:v>
                </c:pt>
                <c:pt idx="59">
                  <c:v>5.3250346657305085</c:v>
                </c:pt>
                <c:pt idx="60">
                  <c:v>5.3293370591890374</c:v>
                </c:pt>
                <c:pt idx="61">
                  <c:v>5.3336394526475663</c:v>
                </c:pt>
                <c:pt idx="62">
                  <c:v>5.3379418461060943</c:v>
                </c:pt>
                <c:pt idx="63">
                  <c:v>5.3422442395646232</c:v>
                </c:pt>
                <c:pt idx="64">
                  <c:v>5.3465466330231521</c:v>
                </c:pt>
                <c:pt idx="65">
                  <c:v>5.350849026481681</c:v>
                </c:pt>
                <c:pt idx="66">
                  <c:v>5.3551514199402099</c:v>
                </c:pt>
                <c:pt idx="67">
                  <c:v>5.3594538133987388</c:v>
                </c:pt>
                <c:pt idx="68">
                  <c:v>5.3637562068572677</c:v>
                </c:pt>
                <c:pt idx="69">
                  <c:v>5.3680586003157966</c:v>
                </c:pt>
                <c:pt idx="70">
                  <c:v>5.3723609937743255</c:v>
                </c:pt>
                <c:pt idx="71">
                  <c:v>5.3766633872328544</c:v>
                </c:pt>
                <c:pt idx="72">
                  <c:v>5.3809657806913833</c:v>
                </c:pt>
                <c:pt idx="73">
                  <c:v>5.3852681741499122</c:v>
                </c:pt>
                <c:pt idx="74">
                  <c:v>5.3895705676084411</c:v>
                </c:pt>
                <c:pt idx="75">
                  <c:v>5.39387296106697</c:v>
                </c:pt>
                <c:pt idx="76">
                  <c:v>5.3981753545254989</c:v>
                </c:pt>
                <c:pt idx="77">
                  <c:v>5.4024777479840269</c:v>
                </c:pt>
                <c:pt idx="78">
                  <c:v>5.4067801414425558</c:v>
                </c:pt>
                <c:pt idx="79">
                  <c:v>5.4110825349010847</c:v>
                </c:pt>
                <c:pt idx="80">
                  <c:v>5.4153849283596136</c:v>
                </c:pt>
                <c:pt idx="81">
                  <c:v>5.4196873218181425</c:v>
                </c:pt>
                <c:pt idx="82">
                  <c:v>5.4239897152766714</c:v>
                </c:pt>
                <c:pt idx="83">
                  <c:v>5.4282921087352003</c:v>
                </c:pt>
                <c:pt idx="84">
                  <c:v>5.4325945021937292</c:v>
                </c:pt>
                <c:pt idx="85">
                  <c:v>5.4368968956522581</c:v>
                </c:pt>
                <c:pt idx="86">
                  <c:v>5.441199289110787</c:v>
                </c:pt>
                <c:pt idx="87">
                  <c:v>5.4455016825693159</c:v>
                </c:pt>
                <c:pt idx="88">
                  <c:v>5.4498040760278448</c:v>
                </c:pt>
                <c:pt idx="89">
                  <c:v>5.4541064694863737</c:v>
                </c:pt>
                <c:pt idx="90">
                  <c:v>5.4584088629449017</c:v>
                </c:pt>
                <c:pt idx="91">
                  <c:v>5.4627112564034306</c:v>
                </c:pt>
                <c:pt idx="92">
                  <c:v>5.4670136498619595</c:v>
                </c:pt>
                <c:pt idx="93">
                  <c:v>5.4713160433204884</c:v>
                </c:pt>
                <c:pt idx="94">
                  <c:v>5.4756184367790173</c:v>
                </c:pt>
                <c:pt idx="95">
                  <c:v>5.4799208302375462</c:v>
                </c:pt>
                <c:pt idx="96">
                  <c:v>5.4842232236960751</c:v>
                </c:pt>
                <c:pt idx="97">
                  <c:v>5.488525617154604</c:v>
                </c:pt>
                <c:pt idx="98">
                  <c:v>5.4928280106131329</c:v>
                </c:pt>
                <c:pt idx="99">
                  <c:v>5.4971304040716618</c:v>
                </c:pt>
                <c:pt idx="100">
                  <c:v>5.5014327975301907</c:v>
                </c:pt>
                <c:pt idx="101">
                  <c:v>5.5057351909887196</c:v>
                </c:pt>
                <c:pt idx="102">
                  <c:v>5.5100375844472484</c:v>
                </c:pt>
                <c:pt idx="103">
                  <c:v>5.5143399779057773</c:v>
                </c:pt>
                <c:pt idx="104">
                  <c:v>5.5186423713643062</c:v>
                </c:pt>
                <c:pt idx="105">
                  <c:v>5.5229447648228343</c:v>
                </c:pt>
                <c:pt idx="106">
                  <c:v>5.5272471582813631</c:v>
                </c:pt>
                <c:pt idx="107">
                  <c:v>5.531549551739892</c:v>
                </c:pt>
                <c:pt idx="108">
                  <c:v>5.5358519451984209</c:v>
                </c:pt>
                <c:pt idx="109">
                  <c:v>5.5401543386569498</c:v>
                </c:pt>
                <c:pt idx="110">
                  <c:v>5.5444567321154787</c:v>
                </c:pt>
                <c:pt idx="111">
                  <c:v>5.5487591255740076</c:v>
                </c:pt>
                <c:pt idx="112">
                  <c:v>5.5530615190325365</c:v>
                </c:pt>
                <c:pt idx="113">
                  <c:v>5.5573639124910654</c:v>
                </c:pt>
                <c:pt idx="114">
                  <c:v>5.5616663059495943</c:v>
                </c:pt>
                <c:pt idx="115">
                  <c:v>5.5659686994081232</c:v>
                </c:pt>
                <c:pt idx="116">
                  <c:v>5.5702710928666521</c:v>
                </c:pt>
                <c:pt idx="117">
                  <c:v>5.574573486325181</c:v>
                </c:pt>
                <c:pt idx="118">
                  <c:v>5.578875879783709</c:v>
                </c:pt>
                <c:pt idx="119">
                  <c:v>5.5831782732422379</c:v>
                </c:pt>
                <c:pt idx="120">
                  <c:v>5.5874806667007668</c:v>
                </c:pt>
                <c:pt idx="121">
                  <c:v>5.5917830601592957</c:v>
                </c:pt>
                <c:pt idx="122">
                  <c:v>5.5960854536178246</c:v>
                </c:pt>
                <c:pt idx="123">
                  <c:v>5.6003878470763535</c:v>
                </c:pt>
                <c:pt idx="124">
                  <c:v>5.6046902405348824</c:v>
                </c:pt>
                <c:pt idx="125">
                  <c:v>5.6089926339934113</c:v>
                </c:pt>
                <c:pt idx="126">
                  <c:v>5.6132950274519402</c:v>
                </c:pt>
                <c:pt idx="127">
                  <c:v>5.6175974209104691</c:v>
                </c:pt>
                <c:pt idx="128">
                  <c:v>5.621899814368998</c:v>
                </c:pt>
                <c:pt idx="129">
                  <c:v>5.6262022078275269</c:v>
                </c:pt>
                <c:pt idx="130">
                  <c:v>5.6305046012860558</c:v>
                </c:pt>
                <c:pt idx="131">
                  <c:v>5.6348069947445847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44832"/>
        <c:axId val="174473792"/>
      </c:scatterChart>
      <c:valAx>
        <c:axId val="174144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t(monthly)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4473792"/>
        <c:crosses val="autoZero"/>
        <c:crossBetween val="midCat"/>
      </c:valAx>
      <c:valAx>
        <c:axId val="1744737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loge(y)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41448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Normal Probability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logaritmoi!$AA$25:$AA$156</c:f>
              <c:numCache>
                <c:formatCode>General</c:formatCode>
                <c:ptCount val="132"/>
                <c:pt idx="0">
                  <c:v>0.37878787878787878</c:v>
                </c:pt>
                <c:pt idx="1">
                  <c:v>1.1363636363636362</c:v>
                </c:pt>
                <c:pt idx="2">
                  <c:v>1.893939393939394</c:v>
                </c:pt>
                <c:pt idx="3">
                  <c:v>2.6515151515151514</c:v>
                </c:pt>
                <c:pt idx="4">
                  <c:v>3.4090909090909092</c:v>
                </c:pt>
                <c:pt idx="5">
                  <c:v>4.166666666666667</c:v>
                </c:pt>
                <c:pt idx="6">
                  <c:v>4.9242424242424239</c:v>
                </c:pt>
                <c:pt idx="7">
                  <c:v>5.6818181818181817</c:v>
                </c:pt>
                <c:pt idx="8">
                  <c:v>6.4393939393939394</c:v>
                </c:pt>
                <c:pt idx="9">
                  <c:v>7.1969696969696972</c:v>
                </c:pt>
                <c:pt idx="10">
                  <c:v>7.954545454545455</c:v>
                </c:pt>
                <c:pt idx="11">
                  <c:v>8.7121212121212128</c:v>
                </c:pt>
                <c:pt idx="12">
                  <c:v>9.4696969696969688</c:v>
                </c:pt>
                <c:pt idx="13">
                  <c:v>10.227272727272727</c:v>
                </c:pt>
                <c:pt idx="14">
                  <c:v>10.984848484848484</c:v>
                </c:pt>
                <c:pt idx="15">
                  <c:v>11.742424242424242</c:v>
                </c:pt>
                <c:pt idx="16">
                  <c:v>12.5</c:v>
                </c:pt>
                <c:pt idx="17">
                  <c:v>13.257575757575758</c:v>
                </c:pt>
                <c:pt idx="18">
                  <c:v>14.015151515151516</c:v>
                </c:pt>
                <c:pt idx="19">
                  <c:v>14.772727272727273</c:v>
                </c:pt>
                <c:pt idx="20">
                  <c:v>15.530303030303031</c:v>
                </c:pt>
                <c:pt idx="21">
                  <c:v>16.287878787878785</c:v>
                </c:pt>
                <c:pt idx="22">
                  <c:v>17.045454545454547</c:v>
                </c:pt>
                <c:pt idx="23">
                  <c:v>17.803030303030305</c:v>
                </c:pt>
                <c:pt idx="24">
                  <c:v>18.560606060606059</c:v>
                </c:pt>
                <c:pt idx="25">
                  <c:v>19.318181818181817</c:v>
                </c:pt>
                <c:pt idx="26">
                  <c:v>20.075757575757574</c:v>
                </c:pt>
                <c:pt idx="27">
                  <c:v>20.833333333333332</c:v>
                </c:pt>
                <c:pt idx="28">
                  <c:v>21.59090909090909</c:v>
                </c:pt>
                <c:pt idx="29">
                  <c:v>22.348484848484848</c:v>
                </c:pt>
                <c:pt idx="30">
                  <c:v>23.106060606060606</c:v>
                </c:pt>
                <c:pt idx="31">
                  <c:v>23.863636363636363</c:v>
                </c:pt>
                <c:pt idx="32">
                  <c:v>24.621212121212121</c:v>
                </c:pt>
                <c:pt idx="33">
                  <c:v>25.378787878787879</c:v>
                </c:pt>
                <c:pt idx="34">
                  <c:v>26.136363636363637</c:v>
                </c:pt>
                <c:pt idx="35">
                  <c:v>26.893939393939394</c:v>
                </c:pt>
                <c:pt idx="36">
                  <c:v>27.651515151515152</c:v>
                </c:pt>
                <c:pt idx="37">
                  <c:v>28.40909090909091</c:v>
                </c:pt>
                <c:pt idx="38">
                  <c:v>29.166666666666668</c:v>
                </c:pt>
                <c:pt idx="39">
                  <c:v>29.924242424242426</c:v>
                </c:pt>
                <c:pt idx="40">
                  <c:v>30.681818181818183</c:v>
                </c:pt>
                <c:pt idx="41">
                  <c:v>31.439393939393938</c:v>
                </c:pt>
                <c:pt idx="42">
                  <c:v>32.196969696969695</c:v>
                </c:pt>
                <c:pt idx="43">
                  <c:v>32.954545454545453</c:v>
                </c:pt>
                <c:pt idx="44">
                  <c:v>33.712121212121211</c:v>
                </c:pt>
                <c:pt idx="45">
                  <c:v>34.469696969696969</c:v>
                </c:pt>
                <c:pt idx="46">
                  <c:v>35.227272727272727</c:v>
                </c:pt>
                <c:pt idx="47">
                  <c:v>35.984848484848484</c:v>
                </c:pt>
                <c:pt idx="48">
                  <c:v>36.742424242424235</c:v>
                </c:pt>
                <c:pt idx="49">
                  <c:v>37.499999999999993</c:v>
                </c:pt>
                <c:pt idx="50">
                  <c:v>38.257575757575751</c:v>
                </c:pt>
                <c:pt idx="51">
                  <c:v>39.015151515151508</c:v>
                </c:pt>
                <c:pt idx="52">
                  <c:v>39.772727272727266</c:v>
                </c:pt>
                <c:pt idx="53">
                  <c:v>40.530303030303024</c:v>
                </c:pt>
                <c:pt idx="54">
                  <c:v>41.287878787878782</c:v>
                </c:pt>
                <c:pt idx="55">
                  <c:v>42.04545454545454</c:v>
                </c:pt>
                <c:pt idx="56">
                  <c:v>42.803030303030297</c:v>
                </c:pt>
                <c:pt idx="57">
                  <c:v>43.560606060606055</c:v>
                </c:pt>
                <c:pt idx="58">
                  <c:v>44.318181818181813</c:v>
                </c:pt>
                <c:pt idx="59">
                  <c:v>45.075757575757571</c:v>
                </c:pt>
                <c:pt idx="60">
                  <c:v>45.833333333333329</c:v>
                </c:pt>
                <c:pt idx="61">
                  <c:v>46.590909090909086</c:v>
                </c:pt>
                <c:pt idx="62">
                  <c:v>47.348484848484844</c:v>
                </c:pt>
                <c:pt idx="63">
                  <c:v>48.106060606060602</c:v>
                </c:pt>
                <c:pt idx="64">
                  <c:v>48.86363636363636</c:v>
                </c:pt>
                <c:pt idx="65">
                  <c:v>49.621212121212118</c:v>
                </c:pt>
                <c:pt idx="66">
                  <c:v>50.378787878787875</c:v>
                </c:pt>
                <c:pt idx="67">
                  <c:v>51.136363636363633</c:v>
                </c:pt>
                <c:pt idx="68">
                  <c:v>51.893939393939391</c:v>
                </c:pt>
                <c:pt idx="69">
                  <c:v>52.651515151515149</c:v>
                </c:pt>
                <c:pt idx="70">
                  <c:v>53.409090909090907</c:v>
                </c:pt>
                <c:pt idx="71">
                  <c:v>54.166666666666664</c:v>
                </c:pt>
                <c:pt idx="72">
                  <c:v>54.924242424242422</c:v>
                </c:pt>
                <c:pt idx="73">
                  <c:v>55.68181818181818</c:v>
                </c:pt>
                <c:pt idx="74">
                  <c:v>56.439393939393938</c:v>
                </c:pt>
                <c:pt idx="75">
                  <c:v>57.196969696969695</c:v>
                </c:pt>
                <c:pt idx="76">
                  <c:v>57.954545454545453</c:v>
                </c:pt>
                <c:pt idx="77">
                  <c:v>58.712121212121211</c:v>
                </c:pt>
                <c:pt idx="78">
                  <c:v>59.469696969696969</c:v>
                </c:pt>
                <c:pt idx="79">
                  <c:v>60.227272727272727</c:v>
                </c:pt>
                <c:pt idx="80">
                  <c:v>60.984848484848484</c:v>
                </c:pt>
                <c:pt idx="81">
                  <c:v>61.742424242424235</c:v>
                </c:pt>
                <c:pt idx="82">
                  <c:v>62.499999999999993</c:v>
                </c:pt>
                <c:pt idx="83">
                  <c:v>63.257575757575751</c:v>
                </c:pt>
                <c:pt idx="84">
                  <c:v>64.015151515151516</c:v>
                </c:pt>
                <c:pt idx="85">
                  <c:v>64.772727272727266</c:v>
                </c:pt>
                <c:pt idx="86">
                  <c:v>65.530303030303031</c:v>
                </c:pt>
                <c:pt idx="87">
                  <c:v>66.287878787878782</c:v>
                </c:pt>
                <c:pt idx="88">
                  <c:v>67.045454545454547</c:v>
                </c:pt>
                <c:pt idx="89">
                  <c:v>67.803030303030297</c:v>
                </c:pt>
                <c:pt idx="90">
                  <c:v>68.560606060606062</c:v>
                </c:pt>
                <c:pt idx="91">
                  <c:v>69.318181818181813</c:v>
                </c:pt>
                <c:pt idx="92">
                  <c:v>70.075757575757578</c:v>
                </c:pt>
                <c:pt idx="93">
                  <c:v>70.833333333333329</c:v>
                </c:pt>
                <c:pt idx="94">
                  <c:v>71.590909090909093</c:v>
                </c:pt>
                <c:pt idx="95">
                  <c:v>72.348484848484844</c:v>
                </c:pt>
                <c:pt idx="96">
                  <c:v>73.106060606060595</c:v>
                </c:pt>
                <c:pt idx="97">
                  <c:v>73.86363636363636</c:v>
                </c:pt>
                <c:pt idx="98">
                  <c:v>74.62121212121211</c:v>
                </c:pt>
                <c:pt idx="99">
                  <c:v>75.378787878787875</c:v>
                </c:pt>
                <c:pt idx="100">
                  <c:v>76.136363636363626</c:v>
                </c:pt>
                <c:pt idx="101">
                  <c:v>76.893939393939391</c:v>
                </c:pt>
                <c:pt idx="102">
                  <c:v>77.651515151515142</c:v>
                </c:pt>
                <c:pt idx="103">
                  <c:v>78.409090909090907</c:v>
                </c:pt>
                <c:pt idx="104">
                  <c:v>79.166666666666657</c:v>
                </c:pt>
                <c:pt idx="105">
                  <c:v>79.924242424242422</c:v>
                </c:pt>
                <c:pt idx="106">
                  <c:v>80.681818181818173</c:v>
                </c:pt>
                <c:pt idx="107">
                  <c:v>81.439393939393938</c:v>
                </c:pt>
                <c:pt idx="108">
                  <c:v>82.196969696969688</c:v>
                </c:pt>
                <c:pt idx="109">
                  <c:v>82.954545454545453</c:v>
                </c:pt>
                <c:pt idx="110">
                  <c:v>83.712121212121204</c:v>
                </c:pt>
                <c:pt idx="111">
                  <c:v>84.469696969696969</c:v>
                </c:pt>
                <c:pt idx="112">
                  <c:v>85.22727272727272</c:v>
                </c:pt>
                <c:pt idx="113">
                  <c:v>85.984848484848484</c:v>
                </c:pt>
                <c:pt idx="114">
                  <c:v>86.742424242424235</c:v>
                </c:pt>
                <c:pt idx="115">
                  <c:v>87.5</c:v>
                </c:pt>
                <c:pt idx="116">
                  <c:v>88.257575757575751</c:v>
                </c:pt>
                <c:pt idx="117">
                  <c:v>89.015151515151516</c:v>
                </c:pt>
                <c:pt idx="118">
                  <c:v>89.772727272727266</c:v>
                </c:pt>
                <c:pt idx="119">
                  <c:v>90.530303030303031</c:v>
                </c:pt>
                <c:pt idx="120">
                  <c:v>91.287878787878782</c:v>
                </c:pt>
                <c:pt idx="121">
                  <c:v>92.045454545454547</c:v>
                </c:pt>
                <c:pt idx="122">
                  <c:v>92.803030303030297</c:v>
                </c:pt>
                <c:pt idx="123">
                  <c:v>93.560606060606062</c:v>
                </c:pt>
                <c:pt idx="124">
                  <c:v>94.318181818181813</c:v>
                </c:pt>
                <c:pt idx="125">
                  <c:v>95.075757575757578</c:v>
                </c:pt>
                <c:pt idx="126">
                  <c:v>95.833333333333329</c:v>
                </c:pt>
                <c:pt idx="127">
                  <c:v>96.590909090909093</c:v>
                </c:pt>
                <c:pt idx="128">
                  <c:v>97.348484848484844</c:v>
                </c:pt>
                <c:pt idx="129">
                  <c:v>98.106060606060595</c:v>
                </c:pt>
                <c:pt idx="130">
                  <c:v>98.86363636363636</c:v>
                </c:pt>
                <c:pt idx="131">
                  <c:v>99.62121212121211</c:v>
                </c:pt>
              </c:numCache>
            </c:numRef>
          </c:xVal>
          <c:yVal>
            <c:numRef>
              <c:f>logaritmoi!$AB$25:$AB$156</c:f>
              <c:numCache>
                <c:formatCode>General</c:formatCode>
                <c:ptCount val="132"/>
                <c:pt idx="0">
                  <c:v>3.784189633918261</c:v>
                </c:pt>
                <c:pt idx="1">
                  <c:v>4.1743872698956368</c:v>
                </c:pt>
                <c:pt idx="2">
                  <c:v>4.219507705176107</c:v>
                </c:pt>
                <c:pt idx="3">
                  <c:v>4.5108595065168497</c:v>
                </c:pt>
                <c:pt idx="4">
                  <c:v>4.6443908991413725</c:v>
                </c:pt>
                <c:pt idx="5">
                  <c:v>4.6634390941120669</c:v>
                </c:pt>
                <c:pt idx="6">
                  <c:v>4.6821312271242199</c:v>
                </c:pt>
                <c:pt idx="7">
                  <c:v>4.7535901911063645</c:v>
                </c:pt>
                <c:pt idx="8">
                  <c:v>4.7621739347977563</c:v>
                </c:pt>
                <c:pt idx="9">
                  <c:v>4.7706846244656651</c:v>
                </c:pt>
                <c:pt idx="10">
                  <c:v>4.7957905455967413</c:v>
                </c:pt>
                <c:pt idx="11">
                  <c:v>4.8040210447332568</c:v>
                </c:pt>
                <c:pt idx="12">
                  <c:v>4.8121843553724171</c:v>
                </c:pt>
                <c:pt idx="13">
                  <c:v>4.8675344504555822</c:v>
                </c:pt>
                <c:pt idx="14">
                  <c:v>4.8675344504555822</c:v>
                </c:pt>
                <c:pt idx="15">
                  <c:v>4.8751973232011512</c:v>
                </c:pt>
                <c:pt idx="16">
                  <c:v>4.8903491282217537</c:v>
                </c:pt>
                <c:pt idx="17">
                  <c:v>4.9126548857360524</c:v>
                </c:pt>
                <c:pt idx="18">
                  <c:v>4.9344739331306915</c:v>
                </c:pt>
                <c:pt idx="19">
                  <c:v>4.9487598903781684</c:v>
                </c:pt>
                <c:pt idx="20">
                  <c:v>4.9698132995760007</c:v>
                </c:pt>
                <c:pt idx="21">
                  <c:v>4.9698132995760007</c:v>
                </c:pt>
                <c:pt idx="22">
                  <c:v>4.9698132995760007</c:v>
                </c:pt>
                <c:pt idx="23">
                  <c:v>4.9767337424205742</c:v>
                </c:pt>
                <c:pt idx="24">
                  <c:v>4.990432586778736</c:v>
                </c:pt>
                <c:pt idx="25">
                  <c:v>5.0039463059454592</c:v>
                </c:pt>
                <c:pt idx="26">
                  <c:v>5.0106352940962555</c:v>
                </c:pt>
                <c:pt idx="27">
                  <c:v>5.0304379213924353</c:v>
                </c:pt>
                <c:pt idx="28">
                  <c:v>5.0434251169192468</c:v>
                </c:pt>
                <c:pt idx="29">
                  <c:v>5.0498560072495371</c:v>
                </c:pt>
                <c:pt idx="30">
                  <c:v>5.0562458053483077</c:v>
                </c:pt>
                <c:pt idx="31">
                  <c:v>5.0689042022202315</c:v>
                </c:pt>
                <c:pt idx="32">
                  <c:v>5.0751738152338266</c:v>
                </c:pt>
                <c:pt idx="33">
                  <c:v>5.0937502008067623</c:v>
                </c:pt>
                <c:pt idx="34">
                  <c:v>5.0937502008067623</c:v>
                </c:pt>
                <c:pt idx="35">
                  <c:v>5.0937502008067623</c:v>
                </c:pt>
                <c:pt idx="36">
                  <c:v>5.1059454739005803</c:v>
                </c:pt>
                <c:pt idx="37">
                  <c:v>5.1239639794032588</c:v>
                </c:pt>
                <c:pt idx="38">
                  <c:v>5.1357984370502621</c:v>
                </c:pt>
                <c:pt idx="39">
                  <c:v>5.1416635565026603</c:v>
                </c:pt>
                <c:pt idx="40">
                  <c:v>5.1532915944977793</c:v>
                </c:pt>
                <c:pt idx="41">
                  <c:v>5.1590552992145291</c:v>
                </c:pt>
                <c:pt idx="42">
                  <c:v>5.1647859739235145</c:v>
                </c:pt>
                <c:pt idx="43">
                  <c:v>5.1647859739235145</c:v>
                </c:pt>
                <c:pt idx="44">
                  <c:v>5.1647859739235145</c:v>
                </c:pt>
                <c:pt idx="45">
                  <c:v>5.1761497325738288</c:v>
                </c:pt>
                <c:pt idx="46">
                  <c:v>5.181783550292085</c:v>
                </c:pt>
                <c:pt idx="47">
                  <c:v>5.181783550292085</c:v>
                </c:pt>
                <c:pt idx="48">
                  <c:v>5.1873858058407549</c:v>
                </c:pt>
                <c:pt idx="49">
                  <c:v>5.1984970312658261</c:v>
                </c:pt>
                <c:pt idx="50">
                  <c:v>5.1984970312658261</c:v>
                </c:pt>
                <c:pt idx="51">
                  <c:v>5.2311086168545868</c:v>
                </c:pt>
                <c:pt idx="52">
                  <c:v>5.2364419628299492</c:v>
                </c:pt>
                <c:pt idx="53">
                  <c:v>5.2470240721604862</c:v>
                </c:pt>
                <c:pt idx="54">
                  <c:v>5.2729995585637468</c:v>
                </c:pt>
                <c:pt idx="55">
                  <c:v>5.2832037287379885</c:v>
                </c:pt>
                <c:pt idx="56">
                  <c:v>5.2832037287379885</c:v>
                </c:pt>
                <c:pt idx="57">
                  <c:v>5.2933048247244923</c:v>
                </c:pt>
                <c:pt idx="58">
                  <c:v>5.3033049080590757</c:v>
                </c:pt>
                <c:pt idx="59">
                  <c:v>5.3132059790417872</c:v>
                </c:pt>
                <c:pt idx="60">
                  <c:v>5.3278761687895813</c:v>
                </c:pt>
                <c:pt idx="61">
                  <c:v>5.3278761687895813</c:v>
                </c:pt>
                <c:pt idx="62">
                  <c:v>5.3327187932653688</c:v>
                </c:pt>
                <c:pt idx="63">
                  <c:v>5.3423342519648109</c:v>
                </c:pt>
                <c:pt idx="64">
                  <c:v>5.3659760150218512</c:v>
                </c:pt>
                <c:pt idx="65">
                  <c:v>5.3752784076841653</c:v>
                </c:pt>
                <c:pt idx="66">
                  <c:v>5.3752784076841653</c:v>
                </c:pt>
                <c:pt idx="67">
                  <c:v>5.3798973535404597</c:v>
                </c:pt>
                <c:pt idx="68">
                  <c:v>5.389071729816501</c:v>
                </c:pt>
                <c:pt idx="69">
                  <c:v>5.4071717714601188</c:v>
                </c:pt>
                <c:pt idx="70">
                  <c:v>5.4161004022044201</c:v>
                </c:pt>
                <c:pt idx="71">
                  <c:v>5.4161004022044201</c:v>
                </c:pt>
                <c:pt idx="72">
                  <c:v>5.4205349992722862</c:v>
                </c:pt>
                <c:pt idx="73">
                  <c:v>5.4249500174814029</c:v>
                </c:pt>
                <c:pt idx="74">
                  <c:v>5.4293456289544411</c:v>
                </c:pt>
                <c:pt idx="75">
                  <c:v>5.43372200355424</c:v>
                </c:pt>
                <c:pt idx="76">
                  <c:v>5.4380793089231956</c:v>
                </c:pt>
                <c:pt idx="77">
                  <c:v>5.4424177105217932</c:v>
                </c:pt>
                <c:pt idx="78">
                  <c:v>5.4510384535657002</c:v>
                </c:pt>
                <c:pt idx="79">
                  <c:v>5.4510384535657002</c:v>
                </c:pt>
                <c:pt idx="80">
                  <c:v>5.4595855141441589</c:v>
                </c:pt>
                <c:pt idx="81">
                  <c:v>5.4806389233419912</c:v>
                </c:pt>
                <c:pt idx="82">
                  <c:v>5.4889377261566867</c:v>
                </c:pt>
                <c:pt idx="83">
                  <c:v>5.4930614433405482</c:v>
                </c:pt>
                <c:pt idx="84">
                  <c:v>5.5012582105447274</c:v>
                </c:pt>
                <c:pt idx="85">
                  <c:v>5.5134287461649825</c:v>
                </c:pt>
                <c:pt idx="86">
                  <c:v>5.5174528964647074</c:v>
                </c:pt>
                <c:pt idx="87">
                  <c:v>5.5174528964647074</c:v>
                </c:pt>
                <c:pt idx="88">
                  <c:v>5.5373342670185366</c:v>
                </c:pt>
                <c:pt idx="89">
                  <c:v>5.5373342670185366</c:v>
                </c:pt>
                <c:pt idx="90">
                  <c:v>5.5490760848952201</c:v>
                </c:pt>
                <c:pt idx="91">
                  <c:v>5.5683445037610966</c:v>
                </c:pt>
                <c:pt idx="92">
                  <c:v>5.5721540321777647</c:v>
                </c:pt>
                <c:pt idx="93">
                  <c:v>5.5721540321777647</c:v>
                </c:pt>
                <c:pt idx="94">
                  <c:v>5.602118820879701</c:v>
                </c:pt>
                <c:pt idx="95">
                  <c:v>5.6058020662959978</c:v>
                </c:pt>
                <c:pt idx="96">
                  <c:v>5.6204008657171496</c:v>
                </c:pt>
                <c:pt idx="97">
                  <c:v>5.6383546693337454</c:v>
                </c:pt>
                <c:pt idx="98">
                  <c:v>5.6419070709381138</c:v>
                </c:pt>
                <c:pt idx="99">
                  <c:v>5.6489742381612063</c:v>
                </c:pt>
                <c:pt idx="100">
                  <c:v>5.6801726090170677</c:v>
                </c:pt>
                <c:pt idx="101">
                  <c:v>5.6903594543240601</c:v>
                </c:pt>
                <c:pt idx="102">
                  <c:v>5.6970934865054046</c:v>
                </c:pt>
                <c:pt idx="103">
                  <c:v>5.7037824746562009</c:v>
                </c:pt>
                <c:pt idx="104">
                  <c:v>5.7104270173748697</c:v>
                </c:pt>
                <c:pt idx="105">
                  <c:v>5.7104270173748697</c:v>
                </c:pt>
                <c:pt idx="106">
                  <c:v>5.7104270173748697</c:v>
                </c:pt>
                <c:pt idx="107">
                  <c:v>5.7365722974791922</c:v>
                </c:pt>
                <c:pt idx="108">
                  <c:v>5.7365722974791922</c:v>
                </c:pt>
                <c:pt idx="109">
                  <c:v>5.7462031905401529</c:v>
                </c:pt>
                <c:pt idx="110">
                  <c:v>5.7620513827801769</c:v>
                </c:pt>
                <c:pt idx="111">
                  <c:v>5.7620513827801769</c:v>
                </c:pt>
                <c:pt idx="112">
                  <c:v>5.7868973813667077</c:v>
                </c:pt>
                <c:pt idx="113">
                  <c:v>5.7868973813667077</c:v>
                </c:pt>
                <c:pt idx="114">
                  <c:v>5.8141305318250662</c:v>
                </c:pt>
                <c:pt idx="115">
                  <c:v>5.8348107370626048</c:v>
                </c:pt>
                <c:pt idx="116">
                  <c:v>5.8377304471659395</c:v>
                </c:pt>
                <c:pt idx="117">
                  <c:v>5.8805329864007003</c:v>
                </c:pt>
                <c:pt idx="118">
                  <c:v>5.8833223884882786</c:v>
                </c:pt>
                <c:pt idx="119">
                  <c:v>5.8916442118257715</c:v>
                </c:pt>
                <c:pt idx="120">
                  <c:v>5.9107966440405271</c:v>
                </c:pt>
                <c:pt idx="121">
                  <c:v>5.9135030056382698</c:v>
                </c:pt>
                <c:pt idx="122">
                  <c:v>5.9135030056382698</c:v>
                </c:pt>
                <c:pt idx="123">
                  <c:v>5.9532433342877846</c:v>
                </c:pt>
                <c:pt idx="124">
                  <c:v>5.955837369464831</c:v>
                </c:pt>
                <c:pt idx="125">
                  <c:v>6.0330862217988015</c:v>
                </c:pt>
                <c:pt idx="126">
                  <c:v>6.0520891689244172</c:v>
                </c:pt>
                <c:pt idx="127">
                  <c:v>6.0913098820776979</c:v>
                </c:pt>
                <c:pt idx="128">
                  <c:v>6.1114673395026786</c:v>
                </c:pt>
                <c:pt idx="129">
                  <c:v>6.1944053911046719</c:v>
                </c:pt>
                <c:pt idx="130">
                  <c:v>6.300785794663244</c:v>
                </c:pt>
                <c:pt idx="131">
                  <c:v>6.7190131543852596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477824"/>
        <c:axId val="174480704"/>
      </c:scatterChart>
      <c:valAx>
        <c:axId val="174477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Sample Percentile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4480704"/>
        <c:crosses val="autoZero"/>
        <c:crossBetween val="midCat"/>
      </c:valAx>
      <c:valAx>
        <c:axId val="1744807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loge(y)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44778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logaritmoi!$W$24</c:f>
              <c:strCache>
                <c:ptCount val="1"/>
                <c:pt idx="0">
                  <c:v>Predicted loge(y)</c:v>
                </c:pt>
              </c:strCache>
            </c:strRef>
          </c:tx>
          <c:marker>
            <c:symbol val="none"/>
          </c:marker>
          <c:val>
            <c:numRef>
              <c:f>logaritmoi!$W$25:$W$156</c:f>
              <c:numCache>
                <c:formatCode>General</c:formatCode>
                <c:ptCount val="132"/>
                <c:pt idx="0">
                  <c:v>5.0711934516773072</c:v>
                </c:pt>
                <c:pt idx="1">
                  <c:v>5.0754958451358361</c:v>
                </c:pt>
                <c:pt idx="2">
                  <c:v>5.079798238594365</c:v>
                </c:pt>
                <c:pt idx="3">
                  <c:v>5.0841006320528939</c:v>
                </c:pt>
                <c:pt idx="4">
                  <c:v>5.0884030255114228</c:v>
                </c:pt>
                <c:pt idx="5">
                  <c:v>5.0927054189699517</c:v>
                </c:pt>
                <c:pt idx="6">
                  <c:v>5.0970078124284797</c:v>
                </c:pt>
                <c:pt idx="7">
                  <c:v>5.1013102058870086</c:v>
                </c:pt>
                <c:pt idx="8">
                  <c:v>5.1056125993455375</c:v>
                </c:pt>
                <c:pt idx="9">
                  <c:v>5.1099149928040664</c:v>
                </c:pt>
                <c:pt idx="10">
                  <c:v>5.1142173862625953</c:v>
                </c:pt>
                <c:pt idx="11">
                  <c:v>5.1185197797211242</c:v>
                </c:pt>
                <c:pt idx="12">
                  <c:v>5.122822173179653</c:v>
                </c:pt>
                <c:pt idx="13">
                  <c:v>5.1271245666381819</c:v>
                </c:pt>
                <c:pt idx="14">
                  <c:v>5.1314269600967108</c:v>
                </c:pt>
                <c:pt idx="15">
                  <c:v>5.1357293535552397</c:v>
                </c:pt>
                <c:pt idx="16">
                  <c:v>5.1400317470137686</c:v>
                </c:pt>
                <c:pt idx="17">
                  <c:v>5.1443341404722975</c:v>
                </c:pt>
                <c:pt idx="18">
                  <c:v>5.1486365339308264</c:v>
                </c:pt>
                <c:pt idx="19">
                  <c:v>5.1529389273893553</c:v>
                </c:pt>
                <c:pt idx="20">
                  <c:v>5.1572413208478842</c:v>
                </c:pt>
                <c:pt idx="21">
                  <c:v>5.1615437143064122</c:v>
                </c:pt>
                <c:pt idx="22">
                  <c:v>5.1658461077649411</c:v>
                </c:pt>
                <c:pt idx="23">
                  <c:v>5.17014850122347</c:v>
                </c:pt>
                <c:pt idx="24">
                  <c:v>5.1744508946819989</c:v>
                </c:pt>
                <c:pt idx="25">
                  <c:v>5.1787532881405278</c:v>
                </c:pt>
                <c:pt idx="26">
                  <c:v>5.1830556815990567</c:v>
                </c:pt>
                <c:pt idx="27">
                  <c:v>5.1873580750575856</c:v>
                </c:pt>
                <c:pt idx="28">
                  <c:v>5.1916604685161145</c:v>
                </c:pt>
                <c:pt idx="29">
                  <c:v>5.1959628619746434</c:v>
                </c:pt>
                <c:pt idx="30">
                  <c:v>5.2002652554331723</c:v>
                </c:pt>
                <c:pt idx="31">
                  <c:v>5.2045676488917012</c:v>
                </c:pt>
                <c:pt idx="32">
                  <c:v>5.2088700423502301</c:v>
                </c:pt>
                <c:pt idx="33">
                  <c:v>5.213172435808759</c:v>
                </c:pt>
                <c:pt idx="34">
                  <c:v>5.217474829267287</c:v>
                </c:pt>
                <c:pt idx="35">
                  <c:v>5.2217772227258159</c:v>
                </c:pt>
                <c:pt idx="36">
                  <c:v>5.2260796161843448</c:v>
                </c:pt>
                <c:pt idx="37">
                  <c:v>5.2303820096428737</c:v>
                </c:pt>
                <c:pt idx="38">
                  <c:v>5.2346844031014026</c:v>
                </c:pt>
                <c:pt idx="39">
                  <c:v>5.2389867965599315</c:v>
                </c:pt>
                <c:pt idx="40">
                  <c:v>5.2432891900184604</c:v>
                </c:pt>
                <c:pt idx="41">
                  <c:v>5.2475915834769893</c:v>
                </c:pt>
                <c:pt idx="42">
                  <c:v>5.2518939769355182</c:v>
                </c:pt>
                <c:pt idx="43">
                  <c:v>5.2561963703940471</c:v>
                </c:pt>
                <c:pt idx="44">
                  <c:v>5.260498763852576</c:v>
                </c:pt>
                <c:pt idx="45">
                  <c:v>5.2648011573111049</c:v>
                </c:pt>
                <c:pt idx="46">
                  <c:v>5.2691035507696338</c:v>
                </c:pt>
                <c:pt idx="47">
                  <c:v>5.2734059442281627</c:v>
                </c:pt>
                <c:pt idx="48">
                  <c:v>5.2777083376866916</c:v>
                </c:pt>
                <c:pt idx="49">
                  <c:v>5.2820107311452196</c:v>
                </c:pt>
                <c:pt idx="50">
                  <c:v>5.2863131246037485</c:v>
                </c:pt>
                <c:pt idx="51">
                  <c:v>5.2906155180622774</c:v>
                </c:pt>
                <c:pt idx="52">
                  <c:v>5.2949179115208063</c:v>
                </c:pt>
                <c:pt idx="53">
                  <c:v>5.2992203049793352</c:v>
                </c:pt>
                <c:pt idx="54">
                  <c:v>5.3035226984378641</c:v>
                </c:pt>
                <c:pt idx="55">
                  <c:v>5.307825091896393</c:v>
                </c:pt>
                <c:pt idx="56">
                  <c:v>5.3121274853549219</c:v>
                </c:pt>
                <c:pt idx="57">
                  <c:v>5.3164298788134507</c:v>
                </c:pt>
                <c:pt idx="58">
                  <c:v>5.3207322722719796</c:v>
                </c:pt>
                <c:pt idx="59">
                  <c:v>5.3250346657305085</c:v>
                </c:pt>
                <c:pt idx="60">
                  <c:v>5.3293370591890374</c:v>
                </c:pt>
                <c:pt idx="61">
                  <c:v>5.3336394526475663</c:v>
                </c:pt>
                <c:pt idx="62">
                  <c:v>5.3379418461060943</c:v>
                </c:pt>
                <c:pt idx="63">
                  <c:v>5.3422442395646232</c:v>
                </c:pt>
                <c:pt idx="64">
                  <c:v>5.3465466330231521</c:v>
                </c:pt>
                <c:pt idx="65">
                  <c:v>5.350849026481681</c:v>
                </c:pt>
                <c:pt idx="66">
                  <c:v>5.3551514199402099</c:v>
                </c:pt>
                <c:pt idx="67">
                  <c:v>5.3594538133987388</c:v>
                </c:pt>
                <c:pt idx="68">
                  <c:v>5.3637562068572677</c:v>
                </c:pt>
                <c:pt idx="69">
                  <c:v>5.3680586003157966</c:v>
                </c:pt>
                <c:pt idx="70">
                  <c:v>5.3723609937743255</c:v>
                </c:pt>
                <c:pt idx="71">
                  <c:v>5.3766633872328544</c:v>
                </c:pt>
                <c:pt idx="72">
                  <c:v>5.3809657806913833</c:v>
                </c:pt>
                <c:pt idx="73">
                  <c:v>5.3852681741499122</c:v>
                </c:pt>
                <c:pt idx="74">
                  <c:v>5.3895705676084411</c:v>
                </c:pt>
                <c:pt idx="75">
                  <c:v>5.39387296106697</c:v>
                </c:pt>
                <c:pt idx="76">
                  <c:v>5.3981753545254989</c:v>
                </c:pt>
                <c:pt idx="77">
                  <c:v>5.4024777479840269</c:v>
                </c:pt>
                <c:pt idx="78">
                  <c:v>5.4067801414425558</c:v>
                </c:pt>
                <c:pt idx="79">
                  <c:v>5.4110825349010847</c:v>
                </c:pt>
                <c:pt idx="80">
                  <c:v>5.4153849283596136</c:v>
                </c:pt>
                <c:pt idx="81">
                  <c:v>5.4196873218181425</c:v>
                </c:pt>
                <c:pt idx="82">
                  <c:v>5.4239897152766714</c:v>
                </c:pt>
                <c:pt idx="83">
                  <c:v>5.4282921087352003</c:v>
                </c:pt>
                <c:pt idx="84">
                  <c:v>5.4325945021937292</c:v>
                </c:pt>
                <c:pt idx="85">
                  <c:v>5.4368968956522581</c:v>
                </c:pt>
                <c:pt idx="86">
                  <c:v>5.441199289110787</c:v>
                </c:pt>
                <c:pt idx="87">
                  <c:v>5.4455016825693159</c:v>
                </c:pt>
                <c:pt idx="88">
                  <c:v>5.4498040760278448</c:v>
                </c:pt>
                <c:pt idx="89">
                  <c:v>5.4541064694863737</c:v>
                </c:pt>
                <c:pt idx="90">
                  <c:v>5.4584088629449017</c:v>
                </c:pt>
                <c:pt idx="91">
                  <c:v>5.4627112564034306</c:v>
                </c:pt>
                <c:pt idx="92">
                  <c:v>5.4670136498619595</c:v>
                </c:pt>
                <c:pt idx="93">
                  <c:v>5.4713160433204884</c:v>
                </c:pt>
                <c:pt idx="94">
                  <c:v>5.4756184367790173</c:v>
                </c:pt>
                <c:pt idx="95">
                  <c:v>5.4799208302375462</c:v>
                </c:pt>
                <c:pt idx="96">
                  <c:v>5.4842232236960751</c:v>
                </c:pt>
                <c:pt idx="97">
                  <c:v>5.488525617154604</c:v>
                </c:pt>
                <c:pt idx="98">
                  <c:v>5.4928280106131329</c:v>
                </c:pt>
                <c:pt idx="99">
                  <c:v>5.4971304040716618</c:v>
                </c:pt>
                <c:pt idx="100">
                  <c:v>5.5014327975301907</c:v>
                </c:pt>
                <c:pt idx="101">
                  <c:v>5.5057351909887196</c:v>
                </c:pt>
                <c:pt idx="102">
                  <c:v>5.5100375844472484</c:v>
                </c:pt>
                <c:pt idx="103">
                  <c:v>5.5143399779057773</c:v>
                </c:pt>
                <c:pt idx="104">
                  <c:v>5.5186423713643062</c:v>
                </c:pt>
                <c:pt idx="105">
                  <c:v>5.5229447648228343</c:v>
                </c:pt>
                <c:pt idx="106">
                  <c:v>5.5272471582813631</c:v>
                </c:pt>
                <c:pt idx="107">
                  <c:v>5.531549551739892</c:v>
                </c:pt>
                <c:pt idx="108">
                  <c:v>5.5358519451984209</c:v>
                </c:pt>
                <c:pt idx="109">
                  <c:v>5.5401543386569498</c:v>
                </c:pt>
                <c:pt idx="110">
                  <c:v>5.5444567321154787</c:v>
                </c:pt>
                <c:pt idx="111">
                  <c:v>5.5487591255740076</c:v>
                </c:pt>
                <c:pt idx="112">
                  <c:v>5.5530615190325365</c:v>
                </c:pt>
                <c:pt idx="113">
                  <c:v>5.5573639124910654</c:v>
                </c:pt>
                <c:pt idx="114">
                  <c:v>5.5616663059495943</c:v>
                </c:pt>
                <c:pt idx="115">
                  <c:v>5.5659686994081232</c:v>
                </c:pt>
                <c:pt idx="116">
                  <c:v>5.5702710928666521</c:v>
                </c:pt>
                <c:pt idx="117">
                  <c:v>5.574573486325181</c:v>
                </c:pt>
                <c:pt idx="118">
                  <c:v>5.578875879783709</c:v>
                </c:pt>
                <c:pt idx="119">
                  <c:v>5.5831782732422379</c:v>
                </c:pt>
                <c:pt idx="120">
                  <c:v>5.5874806667007668</c:v>
                </c:pt>
                <c:pt idx="121">
                  <c:v>5.5917830601592957</c:v>
                </c:pt>
                <c:pt idx="122">
                  <c:v>5.5960854536178246</c:v>
                </c:pt>
                <c:pt idx="123">
                  <c:v>5.6003878470763535</c:v>
                </c:pt>
                <c:pt idx="124">
                  <c:v>5.6046902405348824</c:v>
                </c:pt>
                <c:pt idx="125">
                  <c:v>5.6089926339934113</c:v>
                </c:pt>
                <c:pt idx="126">
                  <c:v>5.6132950274519402</c:v>
                </c:pt>
                <c:pt idx="127">
                  <c:v>5.6175974209104691</c:v>
                </c:pt>
                <c:pt idx="128">
                  <c:v>5.621899814368998</c:v>
                </c:pt>
                <c:pt idx="129">
                  <c:v>5.6262022078275269</c:v>
                </c:pt>
                <c:pt idx="130">
                  <c:v>5.6305046012860558</c:v>
                </c:pt>
                <c:pt idx="131">
                  <c:v>5.6348069947445847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logaritmoi!$AB$24</c:f>
              <c:strCache>
                <c:ptCount val="1"/>
                <c:pt idx="0">
                  <c:v>loge(y)</c:v>
                </c:pt>
              </c:strCache>
            </c:strRef>
          </c:tx>
          <c:marker>
            <c:symbol val="none"/>
          </c:marker>
          <c:val>
            <c:numRef>
              <c:f>logaritmoi!$AB$25:$AB$156</c:f>
              <c:numCache>
                <c:formatCode>General</c:formatCode>
                <c:ptCount val="132"/>
                <c:pt idx="0">
                  <c:v>3.784189633918261</c:v>
                </c:pt>
                <c:pt idx="1">
                  <c:v>4.1743872698956368</c:v>
                </c:pt>
                <c:pt idx="2">
                  <c:v>4.219507705176107</c:v>
                </c:pt>
                <c:pt idx="3">
                  <c:v>4.5108595065168497</c:v>
                </c:pt>
                <c:pt idx="4">
                  <c:v>4.6443908991413725</c:v>
                </c:pt>
                <c:pt idx="5">
                  <c:v>4.6634390941120669</c:v>
                </c:pt>
                <c:pt idx="6">
                  <c:v>4.6821312271242199</c:v>
                </c:pt>
                <c:pt idx="7">
                  <c:v>4.7535901911063645</c:v>
                </c:pt>
                <c:pt idx="8">
                  <c:v>4.7621739347977563</c:v>
                </c:pt>
                <c:pt idx="9">
                  <c:v>4.7706846244656651</c:v>
                </c:pt>
                <c:pt idx="10">
                  <c:v>4.7957905455967413</c:v>
                </c:pt>
                <c:pt idx="11">
                  <c:v>4.8040210447332568</c:v>
                </c:pt>
                <c:pt idx="12">
                  <c:v>4.8121843553724171</c:v>
                </c:pt>
                <c:pt idx="13">
                  <c:v>4.8675344504555822</c:v>
                </c:pt>
                <c:pt idx="14">
                  <c:v>4.8675344504555822</c:v>
                </c:pt>
                <c:pt idx="15">
                  <c:v>4.8751973232011512</c:v>
                </c:pt>
                <c:pt idx="16">
                  <c:v>4.8903491282217537</c:v>
                </c:pt>
                <c:pt idx="17">
                  <c:v>4.9126548857360524</c:v>
                </c:pt>
                <c:pt idx="18">
                  <c:v>4.9344739331306915</c:v>
                </c:pt>
                <c:pt idx="19">
                  <c:v>4.9487598903781684</c:v>
                </c:pt>
                <c:pt idx="20">
                  <c:v>4.9698132995760007</c:v>
                </c:pt>
                <c:pt idx="21">
                  <c:v>4.9698132995760007</c:v>
                </c:pt>
                <c:pt idx="22">
                  <c:v>4.9698132995760007</c:v>
                </c:pt>
                <c:pt idx="23">
                  <c:v>4.9767337424205742</c:v>
                </c:pt>
                <c:pt idx="24">
                  <c:v>4.990432586778736</c:v>
                </c:pt>
                <c:pt idx="25">
                  <c:v>5.0039463059454592</c:v>
                </c:pt>
                <c:pt idx="26">
                  <c:v>5.0106352940962555</c:v>
                </c:pt>
                <c:pt idx="27">
                  <c:v>5.0304379213924353</c:v>
                </c:pt>
                <c:pt idx="28">
                  <c:v>5.0434251169192468</c:v>
                </c:pt>
                <c:pt idx="29">
                  <c:v>5.0498560072495371</c:v>
                </c:pt>
                <c:pt idx="30">
                  <c:v>5.0562458053483077</c:v>
                </c:pt>
                <c:pt idx="31">
                  <c:v>5.0689042022202315</c:v>
                </c:pt>
                <c:pt idx="32">
                  <c:v>5.0751738152338266</c:v>
                </c:pt>
                <c:pt idx="33">
                  <c:v>5.0937502008067623</c:v>
                </c:pt>
                <c:pt idx="34">
                  <c:v>5.0937502008067623</c:v>
                </c:pt>
                <c:pt idx="35">
                  <c:v>5.0937502008067623</c:v>
                </c:pt>
                <c:pt idx="36">
                  <c:v>5.1059454739005803</c:v>
                </c:pt>
                <c:pt idx="37">
                  <c:v>5.1239639794032588</c:v>
                </c:pt>
                <c:pt idx="38">
                  <c:v>5.1357984370502621</c:v>
                </c:pt>
                <c:pt idx="39">
                  <c:v>5.1416635565026603</c:v>
                </c:pt>
                <c:pt idx="40">
                  <c:v>5.1532915944977793</c:v>
                </c:pt>
                <c:pt idx="41">
                  <c:v>5.1590552992145291</c:v>
                </c:pt>
                <c:pt idx="42">
                  <c:v>5.1647859739235145</c:v>
                </c:pt>
                <c:pt idx="43">
                  <c:v>5.1647859739235145</c:v>
                </c:pt>
                <c:pt idx="44">
                  <c:v>5.1647859739235145</c:v>
                </c:pt>
                <c:pt idx="45">
                  <c:v>5.1761497325738288</c:v>
                </c:pt>
                <c:pt idx="46">
                  <c:v>5.181783550292085</c:v>
                </c:pt>
                <c:pt idx="47">
                  <c:v>5.181783550292085</c:v>
                </c:pt>
                <c:pt idx="48">
                  <c:v>5.1873858058407549</c:v>
                </c:pt>
                <c:pt idx="49">
                  <c:v>5.1984970312658261</c:v>
                </c:pt>
                <c:pt idx="50">
                  <c:v>5.1984970312658261</c:v>
                </c:pt>
                <c:pt idx="51">
                  <c:v>5.2311086168545868</c:v>
                </c:pt>
                <c:pt idx="52">
                  <c:v>5.2364419628299492</c:v>
                </c:pt>
                <c:pt idx="53">
                  <c:v>5.2470240721604862</c:v>
                </c:pt>
                <c:pt idx="54">
                  <c:v>5.2729995585637468</c:v>
                </c:pt>
                <c:pt idx="55">
                  <c:v>5.2832037287379885</c:v>
                </c:pt>
                <c:pt idx="56">
                  <c:v>5.2832037287379885</c:v>
                </c:pt>
                <c:pt idx="57">
                  <c:v>5.2933048247244923</c:v>
                </c:pt>
                <c:pt idx="58">
                  <c:v>5.3033049080590757</c:v>
                </c:pt>
                <c:pt idx="59">
                  <c:v>5.3132059790417872</c:v>
                </c:pt>
                <c:pt idx="60">
                  <c:v>5.3278761687895813</c:v>
                </c:pt>
                <c:pt idx="61">
                  <c:v>5.3278761687895813</c:v>
                </c:pt>
                <c:pt idx="62">
                  <c:v>5.3327187932653688</c:v>
                </c:pt>
                <c:pt idx="63">
                  <c:v>5.3423342519648109</c:v>
                </c:pt>
                <c:pt idx="64">
                  <c:v>5.3659760150218512</c:v>
                </c:pt>
                <c:pt idx="65">
                  <c:v>5.3752784076841653</c:v>
                </c:pt>
                <c:pt idx="66">
                  <c:v>5.3752784076841653</c:v>
                </c:pt>
                <c:pt idx="67">
                  <c:v>5.3798973535404597</c:v>
                </c:pt>
                <c:pt idx="68">
                  <c:v>5.389071729816501</c:v>
                </c:pt>
                <c:pt idx="69">
                  <c:v>5.4071717714601188</c:v>
                </c:pt>
                <c:pt idx="70">
                  <c:v>5.4161004022044201</c:v>
                </c:pt>
                <c:pt idx="71">
                  <c:v>5.4161004022044201</c:v>
                </c:pt>
                <c:pt idx="72">
                  <c:v>5.4205349992722862</c:v>
                </c:pt>
                <c:pt idx="73">
                  <c:v>5.4249500174814029</c:v>
                </c:pt>
                <c:pt idx="74">
                  <c:v>5.4293456289544411</c:v>
                </c:pt>
                <c:pt idx="75">
                  <c:v>5.43372200355424</c:v>
                </c:pt>
                <c:pt idx="76">
                  <c:v>5.4380793089231956</c:v>
                </c:pt>
                <c:pt idx="77">
                  <c:v>5.4424177105217932</c:v>
                </c:pt>
                <c:pt idx="78">
                  <c:v>5.4510384535657002</c:v>
                </c:pt>
                <c:pt idx="79">
                  <c:v>5.4510384535657002</c:v>
                </c:pt>
                <c:pt idx="80">
                  <c:v>5.4595855141441589</c:v>
                </c:pt>
                <c:pt idx="81">
                  <c:v>5.4806389233419912</c:v>
                </c:pt>
                <c:pt idx="82">
                  <c:v>5.4889377261566867</c:v>
                </c:pt>
                <c:pt idx="83">
                  <c:v>5.4930614433405482</c:v>
                </c:pt>
                <c:pt idx="84">
                  <c:v>5.5012582105447274</c:v>
                </c:pt>
                <c:pt idx="85">
                  <c:v>5.5134287461649825</c:v>
                </c:pt>
                <c:pt idx="86">
                  <c:v>5.5174528964647074</c:v>
                </c:pt>
                <c:pt idx="87">
                  <c:v>5.5174528964647074</c:v>
                </c:pt>
                <c:pt idx="88">
                  <c:v>5.5373342670185366</c:v>
                </c:pt>
                <c:pt idx="89">
                  <c:v>5.5373342670185366</c:v>
                </c:pt>
                <c:pt idx="90">
                  <c:v>5.5490760848952201</c:v>
                </c:pt>
                <c:pt idx="91">
                  <c:v>5.5683445037610966</c:v>
                </c:pt>
                <c:pt idx="92">
                  <c:v>5.5721540321777647</c:v>
                </c:pt>
                <c:pt idx="93">
                  <c:v>5.5721540321777647</c:v>
                </c:pt>
                <c:pt idx="94">
                  <c:v>5.602118820879701</c:v>
                </c:pt>
                <c:pt idx="95">
                  <c:v>5.6058020662959978</c:v>
                </c:pt>
                <c:pt idx="96">
                  <c:v>5.6204008657171496</c:v>
                </c:pt>
                <c:pt idx="97">
                  <c:v>5.6383546693337454</c:v>
                </c:pt>
                <c:pt idx="98">
                  <c:v>5.6419070709381138</c:v>
                </c:pt>
                <c:pt idx="99">
                  <c:v>5.6489742381612063</c:v>
                </c:pt>
                <c:pt idx="100">
                  <c:v>5.6801726090170677</c:v>
                </c:pt>
                <c:pt idx="101">
                  <c:v>5.6903594543240601</c:v>
                </c:pt>
                <c:pt idx="102">
                  <c:v>5.6970934865054046</c:v>
                </c:pt>
                <c:pt idx="103">
                  <c:v>5.7037824746562009</c:v>
                </c:pt>
                <c:pt idx="104">
                  <c:v>5.7104270173748697</c:v>
                </c:pt>
                <c:pt idx="105">
                  <c:v>5.7104270173748697</c:v>
                </c:pt>
                <c:pt idx="106">
                  <c:v>5.7104270173748697</c:v>
                </c:pt>
                <c:pt idx="107">
                  <c:v>5.7365722974791922</c:v>
                </c:pt>
                <c:pt idx="108">
                  <c:v>5.7365722974791922</c:v>
                </c:pt>
                <c:pt idx="109">
                  <c:v>5.7462031905401529</c:v>
                </c:pt>
                <c:pt idx="110">
                  <c:v>5.7620513827801769</c:v>
                </c:pt>
                <c:pt idx="111">
                  <c:v>5.7620513827801769</c:v>
                </c:pt>
                <c:pt idx="112">
                  <c:v>5.7868973813667077</c:v>
                </c:pt>
                <c:pt idx="113">
                  <c:v>5.7868973813667077</c:v>
                </c:pt>
                <c:pt idx="114">
                  <c:v>5.8141305318250662</c:v>
                </c:pt>
                <c:pt idx="115">
                  <c:v>5.8348107370626048</c:v>
                </c:pt>
                <c:pt idx="116">
                  <c:v>5.8377304471659395</c:v>
                </c:pt>
                <c:pt idx="117">
                  <c:v>5.8805329864007003</c:v>
                </c:pt>
                <c:pt idx="118">
                  <c:v>5.8833223884882786</c:v>
                </c:pt>
                <c:pt idx="119">
                  <c:v>5.8916442118257715</c:v>
                </c:pt>
                <c:pt idx="120">
                  <c:v>5.9107966440405271</c:v>
                </c:pt>
                <c:pt idx="121">
                  <c:v>5.9135030056382698</c:v>
                </c:pt>
                <c:pt idx="122">
                  <c:v>5.9135030056382698</c:v>
                </c:pt>
                <c:pt idx="123">
                  <c:v>5.9532433342877846</c:v>
                </c:pt>
                <c:pt idx="124">
                  <c:v>5.955837369464831</c:v>
                </c:pt>
                <c:pt idx="125">
                  <c:v>6.0330862217988015</c:v>
                </c:pt>
                <c:pt idx="126">
                  <c:v>6.0520891689244172</c:v>
                </c:pt>
                <c:pt idx="127">
                  <c:v>6.0913098820776979</c:v>
                </c:pt>
                <c:pt idx="128">
                  <c:v>6.1114673395026786</c:v>
                </c:pt>
                <c:pt idx="129">
                  <c:v>6.1944053911046719</c:v>
                </c:pt>
                <c:pt idx="130">
                  <c:v>6.300785794663244</c:v>
                </c:pt>
                <c:pt idx="131">
                  <c:v>6.7190131543852596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820160"/>
        <c:axId val="255074880"/>
      </c:lineChart>
      <c:catAx>
        <c:axId val="145820160"/>
        <c:scaling>
          <c:orientation val="minMax"/>
        </c:scaling>
        <c:delete val="0"/>
        <c:axPos val="b"/>
        <c:majorTickMark val="none"/>
        <c:minorTickMark val="none"/>
        <c:tickLblPos val="nextTo"/>
        <c:crossAx val="255074880"/>
        <c:crosses val="autoZero"/>
        <c:auto val="1"/>
        <c:lblAlgn val="ctr"/>
        <c:lblOffset val="100"/>
        <c:noMultiLvlLbl val="0"/>
      </c:catAx>
      <c:valAx>
        <c:axId val="255074880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1458201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cked"/>
        <c:varyColors val="0"/>
        <c:ser>
          <c:idx val="0"/>
          <c:order val="0"/>
          <c:tx>
            <c:v>Predicted Y</c:v>
          </c:tx>
          <c:marker>
            <c:symbol val="none"/>
          </c:marker>
          <c:val>
            <c:numRef>
              <c:f>logaritmoi!$AD$25:$AD$156</c:f>
              <c:numCache>
                <c:formatCode>General</c:formatCode>
                <c:ptCount val="132"/>
                <c:pt idx="0">
                  <c:v>159.36440761449708</c:v>
                </c:pt>
                <c:pt idx="1">
                  <c:v>160.05153308147271</c:v>
                </c:pt>
                <c:pt idx="2">
                  <c:v>160.7416212012416</c:v>
                </c:pt>
                <c:pt idx="3">
                  <c:v>161.43468474776137</c:v>
                </c:pt>
                <c:pt idx="4">
                  <c:v>162.13073655006656</c:v>
                </c:pt>
                <c:pt idx="5">
                  <c:v>162.82978949250622</c:v>
                </c:pt>
                <c:pt idx="6">
                  <c:v>163.53185651498222</c:v>
                </c:pt>
                <c:pt idx="7">
                  <c:v>164.23695061318932</c:v>
                </c:pt>
                <c:pt idx="8">
                  <c:v>164.94508483885488</c:v>
                </c:pt>
                <c:pt idx="9">
                  <c:v>165.65627229998105</c:v>
                </c:pt>
                <c:pt idx="10">
                  <c:v>166.37052616108733</c:v>
                </c:pt>
                <c:pt idx="11">
                  <c:v>167.08785964345407</c:v>
                </c:pt>
                <c:pt idx="12">
                  <c:v>167.80828602536738</c:v>
                </c:pt>
                <c:pt idx="13">
                  <c:v>168.53181864236481</c:v>
                </c:pt>
                <c:pt idx="14">
                  <c:v>169.25847088748228</c:v>
                </c:pt>
                <c:pt idx="15">
                  <c:v>169.98825621150189</c:v>
                </c:pt>
                <c:pt idx="16">
                  <c:v>170.7211881232011</c:v>
                </c:pt>
                <c:pt idx="17">
                  <c:v>171.4572801896025</c:v>
                </c:pt>
                <c:pt idx="18">
                  <c:v>172.19654603622519</c:v>
                </c:pt>
                <c:pt idx="19">
                  <c:v>172.93899934733685</c:v>
                </c:pt>
                <c:pt idx="20">
                  <c:v>173.68465386620716</c:v>
                </c:pt>
                <c:pt idx="21">
                  <c:v>174.4335233953619</c:v>
                </c:pt>
                <c:pt idx="22">
                  <c:v>175.18562179683923</c:v>
                </c:pt>
                <c:pt idx="23">
                  <c:v>175.94096299244521</c:v>
                </c:pt>
                <c:pt idx="24">
                  <c:v>176.69956096401216</c:v>
                </c:pt>
                <c:pt idx="25">
                  <c:v>177.4614297536574</c:v>
                </c:pt>
                <c:pt idx="26">
                  <c:v>178.22658346404305</c:v>
                </c:pt>
                <c:pt idx="27">
                  <c:v>178.99503625863721</c:v>
                </c:pt>
                <c:pt idx="28">
                  <c:v>179.76680236197603</c:v>
                </c:pt>
                <c:pt idx="29">
                  <c:v>180.54189605992701</c:v>
                </c:pt>
                <c:pt idx="30">
                  <c:v>181.32033169995358</c:v>
                </c:pt>
                <c:pt idx="31">
                  <c:v>182.10212369138048</c:v>
                </c:pt>
                <c:pt idx="32">
                  <c:v>182.88728650566068</c:v>
                </c:pt>
                <c:pt idx="33">
                  <c:v>183.67583467664312</c:v>
                </c:pt>
                <c:pt idx="34">
                  <c:v>184.46778280084158</c:v>
                </c:pt>
                <c:pt idx="35">
                  <c:v>185.26314553770567</c:v>
                </c:pt>
                <c:pt idx="36">
                  <c:v>186.061937609891</c:v>
                </c:pt>
                <c:pt idx="37">
                  <c:v>186.86417380353251</c:v>
                </c:pt>
                <c:pt idx="38">
                  <c:v>187.66986896851796</c:v>
                </c:pt>
                <c:pt idx="39">
                  <c:v>188.47903801876276</c:v>
                </c:pt>
                <c:pt idx="40">
                  <c:v>189.29169593248616</c:v>
                </c:pt>
                <c:pt idx="41">
                  <c:v>190.10785775248834</c:v>
                </c:pt>
                <c:pt idx="42">
                  <c:v>190.92753858642905</c:v>
                </c:pt>
                <c:pt idx="43">
                  <c:v>191.75075360710707</c:v>
                </c:pt>
                <c:pt idx="44">
                  <c:v>192.57751805274123</c:v>
                </c:pt>
                <c:pt idx="45">
                  <c:v>193.40784722725235</c:v>
                </c:pt>
                <c:pt idx="46">
                  <c:v>194.24175650054661</c:v>
                </c:pt>
                <c:pt idx="47">
                  <c:v>195.07926130880008</c:v>
                </c:pt>
                <c:pt idx="48">
                  <c:v>195.92037715474433</c:v>
                </c:pt>
                <c:pt idx="49">
                  <c:v>196.76511960795332</c:v>
                </c:pt>
                <c:pt idx="50">
                  <c:v>197.6135043051323</c:v>
                </c:pt>
                <c:pt idx="51">
                  <c:v>198.46554695040615</c:v>
                </c:pt>
                <c:pt idx="52">
                  <c:v>199.32126331561082</c:v>
                </c:pt>
                <c:pt idx="53">
                  <c:v>200.1806692405851</c:v>
                </c:pt>
                <c:pt idx="54">
                  <c:v>201.04378063346377</c:v>
                </c:pt>
                <c:pt idx="55">
                  <c:v>201.91061347097215</c:v>
                </c:pt>
                <c:pt idx="56">
                  <c:v>202.7811837987218</c:v>
                </c:pt>
                <c:pt idx="57">
                  <c:v>203.65550773150747</c:v>
                </c:pt>
                <c:pt idx="58">
                  <c:v>204.53360145360557</c:v>
                </c:pt>
                <c:pt idx="59">
                  <c:v>205.41548121907357</c:v>
                </c:pt>
                <c:pt idx="60">
                  <c:v>206.30116335205093</c:v>
                </c:pt>
                <c:pt idx="61">
                  <c:v>207.19066424706131</c:v>
                </c:pt>
                <c:pt idx="62">
                  <c:v>208.08400036931585</c:v>
                </c:pt>
                <c:pt idx="63">
                  <c:v>208.98118825501862</c:v>
                </c:pt>
                <c:pt idx="64">
                  <c:v>209.8822445116717</c:v>
                </c:pt>
                <c:pt idx="65">
                  <c:v>210.78718581838325</c:v>
                </c:pt>
                <c:pt idx="66">
                  <c:v>211.69602892617618</c:v>
                </c:pt>
                <c:pt idx="67">
                  <c:v>212.60879065829806</c:v>
                </c:pt>
                <c:pt idx="68">
                  <c:v>213.52548791053269</c:v>
                </c:pt>
                <c:pt idx="69">
                  <c:v>214.44613765151274</c:v>
                </c:pt>
                <c:pt idx="70">
                  <c:v>215.37075692303389</c:v>
                </c:pt>
                <c:pt idx="71">
                  <c:v>216.29936284037032</c:v>
                </c:pt>
                <c:pt idx="72">
                  <c:v>217.23197259259146</c:v>
                </c:pt>
                <c:pt idx="73">
                  <c:v>218.16860344288017</c:v>
                </c:pt>
                <c:pt idx="74">
                  <c:v>219.10927272885237</c:v>
                </c:pt>
                <c:pt idx="75">
                  <c:v>220.05399786287791</c:v>
                </c:pt>
                <c:pt idx="76">
                  <c:v>221.00279633240285</c:v>
                </c:pt>
                <c:pt idx="77">
                  <c:v>221.95568570027308</c:v>
                </c:pt>
                <c:pt idx="78">
                  <c:v>222.91268360506012</c:v>
                </c:pt>
                <c:pt idx="79">
                  <c:v>223.87380776138639</c:v>
                </c:pt>
                <c:pt idx="80">
                  <c:v>224.83907596025404</c:v>
                </c:pt>
                <c:pt idx="81">
                  <c:v>225.808506069374</c:v>
                </c:pt>
                <c:pt idx="82">
                  <c:v>226.78211603349672</c:v>
                </c:pt>
                <c:pt idx="83">
                  <c:v>227.75992387474437</c:v>
                </c:pt>
                <c:pt idx="84">
                  <c:v>228.74194769294436</c:v>
                </c:pt>
                <c:pt idx="85">
                  <c:v>229.72820566596451</c:v>
                </c:pt>
                <c:pt idx="86">
                  <c:v>230.71871605004944</c:v>
                </c:pt>
                <c:pt idx="87">
                  <c:v>231.7134971801585</c:v>
                </c:pt>
                <c:pt idx="88">
                  <c:v>232.7125674703052</c:v>
                </c:pt>
                <c:pt idx="89">
                  <c:v>233.71594541389811</c:v>
                </c:pt>
                <c:pt idx="90">
                  <c:v>234.72364958408281</c:v>
                </c:pt>
                <c:pt idx="91">
                  <c:v>235.73569863408673</c:v>
                </c:pt>
                <c:pt idx="92">
                  <c:v>236.75211129756303</c:v>
                </c:pt>
                <c:pt idx="93">
                  <c:v>237.77290638893831</c:v>
                </c:pt>
                <c:pt idx="94">
                  <c:v>238.79810280376054</c:v>
                </c:pt>
                <c:pt idx="95">
                  <c:v>239.82771951904903</c:v>
                </c:pt>
                <c:pt idx="96">
                  <c:v>240.86177559364543</c:v>
                </c:pt>
                <c:pt idx="97">
                  <c:v>241.90029016856678</c:v>
                </c:pt>
                <c:pt idx="98">
                  <c:v>242.94328246735972</c:v>
                </c:pt>
                <c:pt idx="99">
                  <c:v>243.99077179645627</c:v>
                </c:pt>
                <c:pt idx="100">
                  <c:v>245.04277754553129</c:v>
                </c:pt>
                <c:pt idx="101">
                  <c:v>246.09931918786137</c:v>
                </c:pt>
                <c:pt idx="102">
                  <c:v>247.16041628068527</c:v>
                </c:pt>
                <c:pt idx="103">
                  <c:v>248.22608846556597</c:v>
                </c:pt>
                <c:pt idx="104">
                  <c:v>249.29635546875423</c:v>
                </c:pt>
                <c:pt idx="105">
                  <c:v>250.37123710155348</c:v>
                </c:pt>
                <c:pt idx="106">
                  <c:v>251.45075326068752</c:v>
                </c:pt>
                <c:pt idx="107">
                  <c:v>252.53492392866738</c:v>
                </c:pt>
                <c:pt idx="108">
                  <c:v>253.62376917416219</c:v>
                </c:pt>
                <c:pt idx="109">
                  <c:v>254.71730915237038</c:v>
                </c:pt>
                <c:pt idx="110">
                  <c:v>255.81556410539278</c:v>
                </c:pt>
                <c:pt idx="111">
                  <c:v>256.91855436260732</c:v>
                </c:pt>
                <c:pt idx="112">
                  <c:v>258.02630034104527</c:v>
                </c:pt>
                <c:pt idx="113">
                  <c:v>259.13882254576941</c:v>
                </c:pt>
                <c:pt idx="114">
                  <c:v>260.25614157025331</c:v>
                </c:pt>
                <c:pt idx="115">
                  <c:v>261.37827809676259</c:v>
                </c:pt>
                <c:pt idx="116">
                  <c:v>262.50525289673783</c:v>
                </c:pt>
                <c:pt idx="117">
                  <c:v>263.6370868311792</c:v>
                </c:pt>
                <c:pt idx="118">
                  <c:v>264.77380085103198</c:v>
                </c:pt>
                <c:pt idx="119">
                  <c:v>265.91541599757568</c:v>
                </c:pt>
                <c:pt idx="120">
                  <c:v>267.06195340281204</c:v>
                </c:pt>
                <c:pt idx="121">
                  <c:v>268.21343428985699</c:v>
                </c:pt>
                <c:pt idx="122">
                  <c:v>269.36987997333341</c:v>
                </c:pt>
                <c:pt idx="123">
                  <c:v>270.53131185976554</c:v>
                </c:pt>
                <c:pt idx="124">
                  <c:v>271.69775144797546</c:v>
                </c:pt>
                <c:pt idx="125">
                  <c:v>272.86922032948087</c:v>
                </c:pt>
                <c:pt idx="126">
                  <c:v>274.04574018889468</c:v>
                </c:pt>
                <c:pt idx="127">
                  <c:v>275.22733280432664</c:v>
                </c:pt>
                <c:pt idx="128">
                  <c:v>276.41402004778632</c:v>
                </c:pt>
                <c:pt idx="129">
                  <c:v>277.60582388558799</c:v>
                </c:pt>
                <c:pt idx="130">
                  <c:v>278.80276637875727</c:v>
                </c:pt>
                <c:pt idx="131">
                  <c:v>280.00486968343944</c:v>
                </c:pt>
              </c:numCache>
            </c:numRef>
          </c:val>
          <c:smooth val="0"/>
        </c:ser>
        <c:ser>
          <c:idx val="1"/>
          <c:order val="1"/>
          <c:tx>
            <c:v>Y</c:v>
          </c:tx>
          <c:marker>
            <c:symbol val="none"/>
          </c:marker>
          <c:val>
            <c:numRef>
              <c:f>logaritmoi!$AE$25:$AE$156</c:f>
              <c:numCache>
                <c:formatCode>General</c:formatCode>
                <c:ptCount val="132"/>
                <c:pt idx="0">
                  <c:v>233</c:v>
                </c:pt>
                <c:pt idx="1">
                  <c:v>106</c:v>
                </c:pt>
                <c:pt idx="2">
                  <c:v>177</c:v>
                </c:pt>
                <c:pt idx="3">
                  <c:v>175</c:v>
                </c:pt>
                <c:pt idx="4">
                  <c:v>178</c:v>
                </c:pt>
                <c:pt idx="5">
                  <c:v>170</c:v>
                </c:pt>
                <c:pt idx="6">
                  <c:v>199</c:v>
                </c:pt>
                <c:pt idx="7">
                  <c:v>117</c:v>
                </c:pt>
                <c:pt idx="8">
                  <c:v>122</c:v>
                </c:pt>
                <c:pt idx="9">
                  <c:v>136</c:v>
                </c:pt>
                <c:pt idx="10">
                  <c:v>130</c:v>
                </c:pt>
                <c:pt idx="11">
                  <c:v>68</c:v>
                </c:pt>
                <c:pt idx="12">
                  <c:v>179</c:v>
                </c:pt>
                <c:pt idx="13">
                  <c:v>104</c:v>
                </c:pt>
                <c:pt idx="14">
                  <c:v>133</c:v>
                </c:pt>
                <c:pt idx="15">
                  <c:v>163</c:v>
                </c:pt>
                <c:pt idx="16">
                  <c:v>175</c:v>
                </c:pt>
                <c:pt idx="17">
                  <c:v>163</c:v>
                </c:pt>
                <c:pt idx="18">
                  <c:v>156</c:v>
                </c:pt>
                <c:pt idx="19">
                  <c:v>123</c:v>
                </c:pt>
                <c:pt idx="20">
                  <c:v>145</c:v>
                </c:pt>
                <c:pt idx="21">
                  <c:v>197</c:v>
                </c:pt>
                <c:pt idx="22">
                  <c:v>187</c:v>
                </c:pt>
                <c:pt idx="23">
                  <c:v>139</c:v>
                </c:pt>
                <c:pt idx="24">
                  <c:v>293</c:v>
                </c:pt>
                <c:pt idx="25">
                  <c:v>157</c:v>
                </c:pt>
                <c:pt idx="26">
                  <c:v>168</c:v>
                </c:pt>
                <c:pt idx="27">
                  <c:v>174</c:v>
                </c:pt>
                <c:pt idx="28">
                  <c:v>342</c:v>
                </c:pt>
                <c:pt idx="29">
                  <c:v>227</c:v>
                </c:pt>
                <c:pt idx="30">
                  <c:v>207</c:v>
                </c:pt>
                <c:pt idx="31">
                  <c:v>150</c:v>
                </c:pt>
                <c:pt idx="32">
                  <c:v>171</c:v>
                </c:pt>
                <c:pt idx="33">
                  <c:v>217</c:v>
                </c:pt>
                <c:pt idx="34">
                  <c:v>149</c:v>
                </c:pt>
                <c:pt idx="35">
                  <c:v>178</c:v>
                </c:pt>
                <c:pt idx="36">
                  <c:v>223</c:v>
                </c:pt>
                <c:pt idx="37">
                  <c:v>159</c:v>
                </c:pt>
                <c:pt idx="38">
                  <c:v>310</c:v>
                </c:pt>
                <c:pt idx="39">
                  <c:v>370</c:v>
                </c:pt>
                <c:pt idx="40">
                  <c:v>282</c:v>
                </c:pt>
                <c:pt idx="41">
                  <c:v>225</c:v>
                </c:pt>
                <c:pt idx="42">
                  <c:v>216</c:v>
                </c:pt>
                <c:pt idx="43">
                  <c:v>130</c:v>
                </c:pt>
                <c:pt idx="44">
                  <c:v>206</c:v>
                </c:pt>
                <c:pt idx="45">
                  <c:v>147</c:v>
                </c:pt>
                <c:pt idx="46">
                  <c:v>197</c:v>
                </c:pt>
                <c:pt idx="47">
                  <c:v>203</c:v>
                </c:pt>
                <c:pt idx="48">
                  <c:v>160</c:v>
                </c:pt>
                <c:pt idx="49">
                  <c:v>181</c:v>
                </c:pt>
                <c:pt idx="50">
                  <c:v>225</c:v>
                </c:pt>
                <c:pt idx="51">
                  <c:v>417</c:v>
                </c:pt>
                <c:pt idx="52">
                  <c:v>442</c:v>
                </c:pt>
                <c:pt idx="53">
                  <c:v>245</c:v>
                </c:pt>
                <c:pt idx="54">
                  <c:v>263</c:v>
                </c:pt>
                <c:pt idx="55">
                  <c:v>118</c:v>
                </c:pt>
                <c:pt idx="56">
                  <c:v>144</c:v>
                </c:pt>
                <c:pt idx="57">
                  <c:v>144</c:v>
                </c:pt>
                <c:pt idx="58">
                  <c:v>188</c:v>
                </c:pt>
                <c:pt idx="59">
                  <c:v>91</c:v>
                </c:pt>
                <c:pt idx="60">
                  <c:v>310</c:v>
                </c:pt>
                <c:pt idx="61">
                  <c:v>226</c:v>
                </c:pt>
                <c:pt idx="62">
                  <c:v>254</c:v>
                </c:pt>
                <c:pt idx="63">
                  <c:v>385</c:v>
                </c:pt>
                <c:pt idx="64">
                  <c:v>318</c:v>
                </c:pt>
                <c:pt idx="65">
                  <c:v>318</c:v>
                </c:pt>
                <c:pt idx="66">
                  <c:v>181</c:v>
                </c:pt>
                <c:pt idx="67">
                  <c:v>173</c:v>
                </c:pt>
                <c:pt idx="68">
                  <c:v>248</c:v>
                </c:pt>
                <c:pt idx="69">
                  <c:v>262</c:v>
                </c:pt>
                <c:pt idx="70">
                  <c:v>209</c:v>
                </c:pt>
                <c:pt idx="71">
                  <c:v>201</c:v>
                </c:pt>
                <c:pt idx="72">
                  <c:v>313</c:v>
                </c:pt>
                <c:pt idx="73">
                  <c:v>144</c:v>
                </c:pt>
                <c:pt idx="74">
                  <c:v>206</c:v>
                </c:pt>
                <c:pt idx="75">
                  <c:v>300</c:v>
                </c:pt>
                <c:pt idx="76">
                  <c:v>276</c:v>
                </c:pt>
                <c:pt idx="77">
                  <c:v>296</c:v>
                </c:pt>
                <c:pt idx="78">
                  <c:v>281</c:v>
                </c:pt>
                <c:pt idx="79">
                  <c:v>335</c:v>
                </c:pt>
                <c:pt idx="80">
                  <c:v>44</c:v>
                </c:pt>
                <c:pt idx="81">
                  <c:v>195</c:v>
                </c:pt>
                <c:pt idx="82">
                  <c:v>141</c:v>
                </c:pt>
                <c:pt idx="83">
                  <c:v>131</c:v>
                </c:pt>
                <c:pt idx="84">
                  <c:v>370</c:v>
                </c:pt>
                <c:pt idx="85">
                  <c:v>240</c:v>
                </c:pt>
                <c:pt idx="86">
                  <c:v>219</c:v>
                </c:pt>
                <c:pt idx="87">
                  <c:v>425</c:v>
                </c:pt>
                <c:pt idx="88">
                  <c:v>451</c:v>
                </c:pt>
                <c:pt idx="89">
                  <c:v>386</c:v>
                </c:pt>
                <c:pt idx="90">
                  <c:v>545</c:v>
                </c:pt>
                <c:pt idx="91">
                  <c:v>828</c:v>
                </c:pt>
                <c:pt idx="92">
                  <c:v>65</c:v>
                </c:pt>
                <c:pt idx="93">
                  <c:v>121</c:v>
                </c:pt>
                <c:pt idx="94">
                  <c:v>254</c:v>
                </c:pt>
                <c:pt idx="95">
                  <c:v>116</c:v>
                </c:pt>
                <c:pt idx="96">
                  <c:v>358</c:v>
                </c:pt>
                <c:pt idx="97">
                  <c:v>190</c:v>
                </c:pt>
                <c:pt idx="98">
                  <c:v>108</c:v>
                </c:pt>
                <c:pt idx="99">
                  <c:v>175</c:v>
                </c:pt>
                <c:pt idx="100">
                  <c:v>214</c:v>
                </c:pt>
                <c:pt idx="101">
                  <c:v>298</c:v>
                </c:pt>
                <c:pt idx="102">
                  <c:v>326</c:v>
                </c:pt>
                <c:pt idx="103">
                  <c:v>216</c:v>
                </c:pt>
                <c:pt idx="104">
                  <c:v>165</c:v>
                </c:pt>
                <c:pt idx="105">
                  <c:v>229</c:v>
                </c:pt>
                <c:pt idx="106">
                  <c:v>263</c:v>
                </c:pt>
                <c:pt idx="107">
                  <c:v>155</c:v>
                </c:pt>
                <c:pt idx="108">
                  <c:v>235</c:v>
                </c:pt>
                <c:pt idx="109">
                  <c:v>242</c:v>
                </c:pt>
                <c:pt idx="110">
                  <c:v>302</c:v>
                </c:pt>
                <c:pt idx="111">
                  <c:v>369</c:v>
                </c:pt>
                <c:pt idx="112">
                  <c:v>326</c:v>
                </c:pt>
                <c:pt idx="113">
                  <c:v>490</c:v>
                </c:pt>
                <c:pt idx="114">
                  <c:v>228</c:v>
                </c:pt>
                <c:pt idx="115">
                  <c:v>257</c:v>
                </c:pt>
                <c:pt idx="116">
                  <c:v>249</c:v>
                </c:pt>
                <c:pt idx="117">
                  <c:v>302</c:v>
                </c:pt>
                <c:pt idx="118">
                  <c:v>302</c:v>
                </c:pt>
                <c:pt idx="119">
                  <c:v>243</c:v>
                </c:pt>
                <c:pt idx="120">
                  <c:v>233</c:v>
                </c:pt>
                <c:pt idx="121">
                  <c:v>230</c:v>
                </c:pt>
                <c:pt idx="122">
                  <c:v>284</c:v>
                </c:pt>
                <c:pt idx="123">
                  <c:v>343</c:v>
                </c:pt>
                <c:pt idx="124">
                  <c:v>359</c:v>
                </c:pt>
                <c:pt idx="125">
                  <c:v>362</c:v>
                </c:pt>
                <c:pt idx="126">
                  <c:v>271</c:v>
                </c:pt>
                <c:pt idx="127">
                  <c:v>153</c:v>
                </c:pt>
                <c:pt idx="128">
                  <c:v>231</c:v>
                </c:pt>
                <c:pt idx="129">
                  <c:v>163</c:v>
                </c:pt>
                <c:pt idx="130">
                  <c:v>272</c:v>
                </c:pt>
                <c:pt idx="131">
                  <c:v>298.800587199061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931456"/>
        <c:axId val="395283840"/>
      </c:lineChart>
      <c:catAx>
        <c:axId val="254931456"/>
        <c:scaling>
          <c:orientation val="minMax"/>
        </c:scaling>
        <c:delete val="0"/>
        <c:axPos val="b"/>
        <c:majorTickMark val="out"/>
        <c:minorTickMark val="none"/>
        <c:tickLblPos val="nextTo"/>
        <c:crossAx val="395283840"/>
        <c:crosses val="autoZero"/>
        <c:auto val="1"/>
        <c:lblAlgn val="ctr"/>
        <c:lblOffset val="100"/>
        <c:noMultiLvlLbl val="0"/>
      </c:catAx>
      <c:valAx>
        <c:axId val="395283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4931456"/>
        <c:crosses val="autoZero"/>
        <c:crossBetween val="between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Predicted Y</c:v>
          </c:tx>
          <c:marker>
            <c:symbol val="none"/>
          </c:marker>
          <c:val>
            <c:numRef>
              <c:f>logaritmoi!$AD$25:$AD$156</c:f>
              <c:numCache>
                <c:formatCode>General</c:formatCode>
                <c:ptCount val="132"/>
                <c:pt idx="0">
                  <c:v>159.36440761449708</c:v>
                </c:pt>
                <c:pt idx="1">
                  <c:v>160.05153308147271</c:v>
                </c:pt>
                <c:pt idx="2">
                  <c:v>160.7416212012416</c:v>
                </c:pt>
                <c:pt idx="3">
                  <c:v>161.43468474776137</c:v>
                </c:pt>
                <c:pt idx="4">
                  <c:v>162.13073655006656</c:v>
                </c:pt>
                <c:pt idx="5">
                  <c:v>162.82978949250622</c:v>
                </c:pt>
                <c:pt idx="6">
                  <c:v>163.53185651498222</c:v>
                </c:pt>
                <c:pt idx="7">
                  <c:v>164.23695061318932</c:v>
                </c:pt>
                <c:pt idx="8">
                  <c:v>164.94508483885488</c:v>
                </c:pt>
                <c:pt idx="9">
                  <c:v>165.65627229998105</c:v>
                </c:pt>
                <c:pt idx="10">
                  <c:v>166.37052616108733</c:v>
                </c:pt>
                <c:pt idx="11">
                  <c:v>167.08785964345407</c:v>
                </c:pt>
                <c:pt idx="12">
                  <c:v>167.80828602536738</c:v>
                </c:pt>
                <c:pt idx="13">
                  <c:v>168.53181864236481</c:v>
                </c:pt>
                <c:pt idx="14">
                  <c:v>169.25847088748228</c:v>
                </c:pt>
                <c:pt idx="15">
                  <c:v>169.98825621150189</c:v>
                </c:pt>
                <c:pt idx="16">
                  <c:v>170.7211881232011</c:v>
                </c:pt>
                <c:pt idx="17">
                  <c:v>171.4572801896025</c:v>
                </c:pt>
                <c:pt idx="18">
                  <c:v>172.19654603622519</c:v>
                </c:pt>
                <c:pt idx="19">
                  <c:v>172.93899934733685</c:v>
                </c:pt>
                <c:pt idx="20">
                  <c:v>173.68465386620716</c:v>
                </c:pt>
                <c:pt idx="21">
                  <c:v>174.4335233953619</c:v>
                </c:pt>
                <c:pt idx="22">
                  <c:v>175.18562179683923</c:v>
                </c:pt>
                <c:pt idx="23">
                  <c:v>175.94096299244521</c:v>
                </c:pt>
                <c:pt idx="24">
                  <c:v>176.69956096401216</c:v>
                </c:pt>
                <c:pt idx="25">
                  <c:v>177.4614297536574</c:v>
                </c:pt>
                <c:pt idx="26">
                  <c:v>178.22658346404305</c:v>
                </c:pt>
                <c:pt idx="27">
                  <c:v>178.99503625863721</c:v>
                </c:pt>
                <c:pt idx="28">
                  <c:v>179.76680236197603</c:v>
                </c:pt>
                <c:pt idx="29">
                  <c:v>180.54189605992701</c:v>
                </c:pt>
                <c:pt idx="30">
                  <c:v>181.32033169995358</c:v>
                </c:pt>
                <c:pt idx="31">
                  <c:v>182.10212369138048</c:v>
                </c:pt>
                <c:pt idx="32">
                  <c:v>182.88728650566068</c:v>
                </c:pt>
                <c:pt idx="33">
                  <c:v>183.67583467664312</c:v>
                </c:pt>
                <c:pt idx="34">
                  <c:v>184.46778280084158</c:v>
                </c:pt>
                <c:pt idx="35">
                  <c:v>185.26314553770567</c:v>
                </c:pt>
                <c:pt idx="36">
                  <c:v>186.061937609891</c:v>
                </c:pt>
                <c:pt idx="37">
                  <c:v>186.86417380353251</c:v>
                </c:pt>
                <c:pt idx="38">
                  <c:v>187.66986896851796</c:v>
                </c:pt>
                <c:pt idx="39">
                  <c:v>188.47903801876276</c:v>
                </c:pt>
                <c:pt idx="40">
                  <c:v>189.29169593248616</c:v>
                </c:pt>
                <c:pt idx="41">
                  <c:v>190.10785775248834</c:v>
                </c:pt>
                <c:pt idx="42">
                  <c:v>190.92753858642905</c:v>
                </c:pt>
                <c:pt idx="43">
                  <c:v>191.75075360710707</c:v>
                </c:pt>
                <c:pt idx="44">
                  <c:v>192.57751805274123</c:v>
                </c:pt>
                <c:pt idx="45">
                  <c:v>193.40784722725235</c:v>
                </c:pt>
                <c:pt idx="46">
                  <c:v>194.24175650054661</c:v>
                </c:pt>
                <c:pt idx="47">
                  <c:v>195.07926130880008</c:v>
                </c:pt>
                <c:pt idx="48">
                  <c:v>195.92037715474433</c:v>
                </c:pt>
                <c:pt idx="49">
                  <c:v>196.76511960795332</c:v>
                </c:pt>
                <c:pt idx="50">
                  <c:v>197.6135043051323</c:v>
                </c:pt>
                <c:pt idx="51">
                  <c:v>198.46554695040615</c:v>
                </c:pt>
                <c:pt idx="52">
                  <c:v>199.32126331561082</c:v>
                </c:pt>
                <c:pt idx="53">
                  <c:v>200.1806692405851</c:v>
                </c:pt>
                <c:pt idx="54">
                  <c:v>201.04378063346377</c:v>
                </c:pt>
                <c:pt idx="55">
                  <c:v>201.91061347097215</c:v>
                </c:pt>
                <c:pt idx="56">
                  <c:v>202.7811837987218</c:v>
                </c:pt>
                <c:pt idx="57">
                  <c:v>203.65550773150747</c:v>
                </c:pt>
                <c:pt idx="58">
                  <c:v>204.53360145360557</c:v>
                </c:pt>
                <c:pt idx="59">
                  <c:v>205.41548121907357</c:v>
                </c:pt>
                <c:pt idx="60">
                  <c:v>206.30116335205093</c:v>
                </c:pt>
                <c:pt idx="61">
                  <c:v>207.19066424706131</c:v>
                </c:pt>
                <c:pt idx="62">
                  <c:v>208.08400036931585</c:v>
                </c:pt>
                <c:pt idx="63">
                  <c:v>208.98118825501862</c:v>
                </c:pt>
                <c:pt idx="64">
                  <c:v>209.8822445116717</c:v>
                </c:pt>
                <c:pt idx="65">
                  <c:v>210.78718581838325</c:v>
                </c:pt>
                <c:pt idx="66">
                  <c:v>211.69602892617618</c:v>
                </c:pt>
                <c:pt idx="67">
                  <c:v>212.60879065829806</c:v>
                </c:pt>
                <c:pt idx="68">
                  <c:v>213.52548791053269</c:v>
                </c:pt>
                <c:pt idx="69">
                  <c:v>214.44613765151274</c:v>
                </c:pt>
                <c:pt idx="70">
                  <c:v>215.37075692303389</c:v>
                </c:pt>
                <c:pt idx="71">
                  <c:v>216.29936284037032</c:v>
                </c:pt>
                <c:pt idx="72">
                  <c:v>217.23197259259146</c:v>
                </c:pt>
                <c:pt idx="73">
                  <c:v>218.16860344288017</c:v>
                </c:pt>
                <c:pt idx="74">
                  <c:v>219.10927272885237</c:v>
                </c:pt>
                <c:pt idx="75">
                  <c:v>220.05399786287791</c:v>
                </c:pt>
                <c:pt idx="76">
                  <c:v>221.00279633240285</c:v>
                </c:pt>
                <c:pt idx="77">
                  <c:v>221.95568570027308</c:v>
                </c:pt>
                <c:pt idx="78">
                  <c:v>222.91268360506012</c:v>
                </c:pt>
                <c:pt idx="79">
                  <c:v>223.87380776138639</c:v>
                </c:pt>
                <c:pt idx="80">
                  <c:v>224.83907596025404</c:v>
                </c:pt>
                <c:pt idx="81">
                  <c:v>225.808506069374</c:v>
                </c:pt>
                <c:pt idx="82">
                  <c:v>226.78211603349672</c:v>
                </c:pt>
                <c:pt idx="83">
                  <c:v>227.75992387474437</c:v>
                </c:pt>
                <c:pt idx="84">
                  <c:v>228.74194769294436</c:v>
                </c:pt>
                <c:pt idx="85">
                  <c:v>229.72820566596451</c:v>
                </c:pt>
                <c:pt idx="86">
                  <c:v>230.71871605004944</c:v>
                </c:pt>
                <c:pt idx="87">
                  <c:v>231.7134971801585</c:v>
                </c:pt>
                <c:pt idx="88">
                  <c:v>232.7125674703052</c:v>
                </c:pt>
                <c:pt idx="89">
                  <c:v>233.71594541389811</c:v>
                </c:pt>
                <c:pt idx="90">
                  <c:v>234.72364958408281</c:v>
                </c:pt>
                <c:pt idx="91">
                  <c:v>235.73569863408673</c:v>
                </c:pt>
                <c:pt idx="92">
                  <c:v>236.75211129756303</c:v>
                </c:pt>
                <c:pt idx="93">
                  <c:v>237.77290638893831</c:v>
                </c:pt>
                <c:pt idx="94">
                  <c:v>238.79810280376054</c:v>
                </c:pt>
                <c:pt idx="95">
                  <c:v>239.82771951904903</c:v>
                </c:pt>
                <c:pt idx="96">
                  <c:v>240.86177559364543</c:v>
                </c:pt>
                <c:pt idx="97">
                  <c:v>241.90029016856678</c:v>
                </c:pt>
                <c:pt idx="98">
                  <c:v>242.94328246735972</c:v>
                </c:pt>
                <c:pt idx="99">
                  <c:v>243.99077179645627</c:v>
                </c:pt>
                <c:pt idx="100">
                  <c:v>245.04277754553129</c:v>
                </c:pt>
                <c:pt idx="101">
                  <c:v>246.09931918786137</c:v>
                </c:pt>
                <c:pt idx="102">
                  <c:v>247.16041628068527</c:v>
                </c:pt>
                <c:pt idx="103">
                  <c:v>248.22608846556597</c:v>
                </c:pt>
                <c:pt idx="104">
                  <c:v>249.29635546875423</c:v>
                </c:pt>
                <c:pt idx="105">
                  <c:v>250.37123710155348</c:v>
                </c:pt>
                <c:pt idx="106">
                  <c:v>251.45075326068752</c:v>
                </c:pt>
                <c:pt idx="107">
                  <c:v>252.53492392866738</c:v>
                </c:pt>
                <c:pt idx="108">
                  <c:v>253.62376917416219</c:v>
                </c:pt>
                <c:pt idx="109">
                  <c:v>254.71730915237038</c:v>
                </c:pt>
                <c:pt idx="110">
                  <c:v>255.81556410539278</c:v>
                </c:pt>
                <c:pt idx="111">
                  <c:v>256.91855436260732</c:v>
                </c:pt>
                <c:pt idx="112">
                  <c:v>258.02630034104527</c:v>
                </c:pt>
                <c:pt idx="113">
                  <c:v>259.13882254576941</c:v>
                </c:pt>
                <c:pt idx="114">
                  <c:v>260.25614157025331</c:v>
                </c:pt>
                <c:pt idx="115">
                  <c:v>261.37827809676259</c:v>
                </c:pt>
                <c:pt idx="116">
                  <c:v>262.50525289673783</c:v>
                </c:pt>
                <c:pt idx="117">
                  <c:v>263.6370868311792</c:v>
                </c:pt>
                <c:pt idx="118">
                  <c:v>264.77380085103198</c:v>
                </c:pt>
                <c:pt idx="119">
                  <c:v>265.91541599757568</c:v>
                </c:pt>
                <c:pt idx="120">
                  <c:v>267.06195340281204</c:v>
                </c:pt>
                <c:pt idx="121">
                  <c:v>268.21343428985699</c:v>
                </c:pt>
                <c:pt idx="122">
                  <c:v>269.36987997333341</c:v>
                </c:pt>
                <c:pt idx="123">
                  <c:v>270.53131185976554</c:v>
                </c:pt>
                <c:pt idx="124">
                  <c:v>271.69775144797546</c:v>
                </c:pt>
                <c:pt idx="125">
                  <c:v>272.86922032948087</c:v>
                </c:pt>
                <c:pt idx="126">
                  <c:v>274.04574018889468</c:v>
                </c:pt>
                <c:pt idx="127">
                  <c:v>275.22733280432664</c:v>
                </c:pt>
                <c:pt idx="128">
                  <c:v>276.41402004778632</c:v>
                </c:pt>
                <c:pt idx="129">
                  <c:v>277.60582388558799</c:v>
                </c:pt>
                <c:pt idx="130">
                  <c:v>278.80276637875727</c:v>
                </c:pt>
                <c:pt idx="131">
                  <c:v>280.00486968343944</c:v>
                </c:pt>
              </c:numCache>
            </c:numRef>
          </c:val>
          <c:smooth val="0"/>
        </c:ser>
        <c:ser>
          <c:idx val="1"/>
          <c:order val="1"/>
          <c:tx>
            <c:v>Y</c:v>
          </c:tx>
          <c:marker>
            <c:symbol val="none"/>
          </c:marker>
          <c:val>
            <c:numRef>
              <c:f>logaritmoi!$AE$25:$AE$156</c:f>
              <c:numCache>
                <c:formatCode>General</c:formatCode>
                <c:ptCount val="132"/>
                <c:pt idx="0">
                  <c:v>233</c:v>
                </c:pt>
                <c:pt idx="1">
                  <c:v>106</c:v>
                </c:pt>
                <c:pt idx="2">
                  <c:v>177</c:v>
                </c:pt>
                <c:pt idx="3">
                  <c:v>175</c:v>
                </c:pt>
                <c:pt idx="4">
                  <c:v>178</c:v>
                </c:pt>
                <c:pt idx="5">
                  <c:v>170</c:v>
                </c:pt>
                <c:pt idx="6">
                  <c:v>199</c:v>
                </c:pt>
                <c:pt idx="7">
                  <c:v>117</c:v>
                </c:pt>
                <c:pt idx="8">
                  <c:v>122</c:v>
                </c:pt>
                <c:pt idx="9">
                  <c:v>136</c:v>
                </c:pt>
                <c:pt idx="10">
                  <c:v>130</c:v>
                </c:pt>
                <c:pt idx="11">
                  <c:v>68</c:v>
                </c:pt>
                <c:pt idx="12">
                  <c:v>179</c:v>
                </c:pt>
                <c:pt idx="13">
                  <c:v>104</c:v>
                </c:pt>
                <c:pt idx="14">
                  <c:v>133</c:v>
                </c:pt>
                <c:pt idx="15">
                  <c:v>163</c:v>
                </c:pt>
                <c:pt idx="16">
                  <c:v>175</c:v>
                </c:pt>
                <c:pt idx="17">
                  <c:v>163</c:v>
                </c:pt>
                <c:pt idx="18">
                  <c:v>156</c:v>
                </c:pt>
                <c:pt idx="19">
                  <c:v>123</c:v>
                </c:pt>
                <c:pt idx="20">
                  <c:v>145</c:v>
                </c:pt>
                <c:pt idx="21">
                  <c:v>197</c:v>
                </c:pt>
                <c:pt idx="22">
                  <c:v>187</c:v>
                </c:pt>
                <c:pt idx="23">
                  <c:v>139</c:v>
                </c:pt>
                <c:pt idx="24">
                  <c:v>293</c:v>
                </c:pt>
                <c:pt idx="25">
                  <c:v>157</c:v>
                </c:pt>
                <c:pt idx="26">
                  <c:v>168</c:v>
                </c:pt>
                <c:pt idx="27">
                  <c:v>174</c:v>
                </c:pt>
                <c:pt idx="28">
                  <c:v>342</c:v>
                </c:pt>
                <c:pt idx="29">
                  <c:v>227</c:v>
                </c:pt>
                <c:pt idx="30">
                  <c:v>207</c:v>
                </c:pt>
                <c:pt idx="31">
                  <c:v>150</c:v>
                </c:pt>
                <c:pt idx="32">
                  <c:v>171</c:v>
                </c:pt>
                <c:pt idx="33">
                  <c:v>217</c:v>
                </c:pt>
                <c:pt idx="34">
                  <c:v>149</c:v>
                </c:pt>
                <c:pt idx="35">
                  <c:v>178</c:v>
                </c:pt>
                <c:pt idx="36">
                  <c:v>223</c:v>
                </c:pt>
                <c:pt idx="37">
                  <c:v>159</c:v>
                </c:pt>
                <c:pt idx="38">
                  <c:v>310</c:v>
                </c:pt>
                <c:pt idx="39">
                  <c:v>370</c:v>
                </c:pt>
                <c:pt idx="40">
                  <c:v>282</c:v>
                </c:pt>
                <c:pt idx="41">
                  <c:v>225</c:v>
                </c:pt>
                <c:pt idx="42">
                  <c:v>216</c:v>
                </c:pt>
                <c:pt idx="43">
                  <c:v>130</c:v>
                </c:pt>
                <c:pt idx="44">
                  <c:v>206</c:v>
                </c:pt>
                <c:pt idx="45">
                  <c:v>147</c:v>
                </c:pt>
                <c:pt idx="46">
                  <c:v>197</c:v>
                </c:pt>
                <c:pt idx="47">
                  <c:v>203</c:v>
                </c:pt>
                <c:pt idx="48">
                  <c:v>160</c:v>
                </c:pt>
                <c:pt idx="49">
                  <c:v>181</c:v>
                </c:pt>
                <c:pt idx="50">
                  <c:v>225</c:v>
                </c:pt>
                <c:pt idx="51">
                  <c:v>417</c:v>
                </c:pt>
                <c:pt idx="52">
                  <c:v>442</c:v>
                </c:pt>
                <c:pt idx="53">
                  <c:v>245</c:v>
                </c:pt>
                <c:pt idx="54">
                  <c:v>263</c:v>
                </c:pt>
                <c:pt idx="55">
                  <c:v>118</c:v>
                </c:pt>
                <c:pt idx="56">
                  <c:v>144</c:v>
                </c:pt>
                <c:pt idx="57">
                  <c:v>144</c:v>
                </c:pt>
                <c:pt idx="58">
                  <c:v>188</c:v>
                </c:pt>
                <c:pt idx="59">
                  <c:v>91</c:v>
                </c:pt>
                <c:pt idx="60">
                  <c:v>310</c:v>
                </c:pt>
                <c:pt idx="61">
                  <c:v>226</c:v>
                </c:pt>
                <c:pt idx="62">
                  <c:v>254</c:v>
                </c:pt>
                <c:pt idx="63">
                  <c:v>385</c:v>
                </c:pt>
                <c:pt idx="64">
                  <c:v>318</c:v>
                </c:pt>
                <c:pt idx="65">
                  <c:v>318</c:v>
                </c:pt>
                <c:pt idx="66">
                  <c:v>181</c:v>
                </c:pt>
                <c:pt idx="67">
                  <c:v>173</c:v>
                </c:pt>
                <c:pt idx="68">
                  <c:v>248</c:v>
                </c:pt>
                <c:pt idx="69">
                  <c:v>262</c:v>
                </c:pt>
                <c:pt idx="70">
                  <c:v>209</c:v>
                </c:pt>
                <c:pt idx="71">
                  <c:v>201</c:v>
                </c:pt>
                <c:pt idx="72">
                  <c:v>313</c:v>
                </c:pt>
                <c:pt idx="73">
                  <c:v>144</c:v>
                </c:pt>
                <c:pt idx="74">
                  <c:v>206</c:v>
                </c:pt>
                <c:pt idx="75">
                  <c:v>300</c:v>
                </c:pt>
                <c:pt idx="76">
                  <c:v>276</c:v>
                </c:pt>
                <c:pt idx="77">
                  <c:v>296</c:v>
                </c:pt>
                <c:pt idx="78">
                  <c:v>281</c:v>
                </c:pt>
                <c:pt idx="79">
                  <c:v>335</c:v>
                </c:pt>
                <c:pt idx="80">
                  <c:v>44</c:v>
                </c:pt>
                <c:pt idx="81">
                  <c:v>195</c:v>
                </c:pt>
                <c:pt idx="82">
                  <c:v>141</c:v>
                </c:pt>
                <c:pt idx="83">
                  <c:v>131</c:v>
                </c:pt>
                <c:pt idx="84">
                  <c:v>370</c:v>
                </c:pt>
                <c:pt idx="85">
                  <c:v>240</c:v>
                </c:pt>
                <c:pt idx="86">
                  <c:v>219</c:v>
                </c:pt>
                <c:pt idx="87">
                  <c:v>425</c:v>
                </c:pt>
                <c:pt idx="88">
                  <c:v>451</c:v>
                </c:pt>
                <c:pt idx="89">
                  <c:v>386</c:v>
                </c:pt>
                <c:pt idx="90">
                  <c:v>545</c:v>
                </c:pt>
                <c:pt idx="91">
                  <c:v>828</c:v>
                </c:pt>
                <c:pt idx="92">
                  <c:v>65</c:v>
                </c:pt>
                <c:pt idx="93">
                  <c:v>121</c:v>
                </c:pt>
                <c:pt idx="94">
                  <c:v>254</c:v>
                </c:pt>
                <c:pt idx="95">
                  <c:v>116</c:v>
                </c:pt>
                <c:pt idx="96">
                  <c:v>358</c:v>
                </c:pt>
                <c:pt idx="97">
                  <c:v>190</c:v>
                </c:pt>
                <c:pt idx="98">
                  <c:v>108</c:v>
                </c:pt>
                <c:pt idx="99">
                  <c:v>175</c:v>
                </c:pt>
                <c:pt idx="100">
                  <c:v>214</c:v>
                </c:pt>
                <c:pt idx="101">
                  <c:v>298</c:v>
                </c:pt>
                <c:pt idx="102">
                  <c:v>326</c:v>
                </c:pt>
                <c:pt idx="103">
                  <c:v>216</c:v>
                </c:pt>
                <c:pt idx="104">
                  <c:v>165</c:v>
                </c:pt>
                <c:pt idx="105">
                  <c:v>229</c:v>
                </c:pt>
                <c:pt idx="106">
                  <c:v>263</c:v>
                </c:pt>
                <c:pt idx="107">
                  <c:v>155</c:v>
                </c:pt>
                <c:pt idx="108">
                  <c:v>235</c:v>
                </c:pt>
                <c:pt idx="109">
                  <c:v>242</c:v>
                </c:pt>
                <c:pt idx="110">
                  <c:v>302</c:v>
                </c:pt>
                <c:pt idx="111">
                  <c:v>369</c:v>
                </c:pt>
                <c:pt idx="112">
                  <c:v>326</c:v>
                </c:pt>
                <c:pt idx="113">
                  <c:v>490</c:v>
                </c:pt>
                <c:pt idx="114">
                  <c:v>228</c:v>
                </c:pt>
                <c:pt idx="115">
                  <c:v>257</c:v>
                </c:pt>
                <c:pt idx="116">
                  <c:v>249</c:v>
                </c:pt>
                <c:pt idx="117">
                  <c:v>302</c:v>
                </c:pt>
                <c:pt idx="118">
                  <c:v>302</c:v>
                </c:pt>
                <c:pt idx="119">
                  <c:v>243</c:v>
                </c:pt>
                <c:pt idx="120">
                  <c:v>233</c:v>
                </c:pt>
                <c:pt idx="121">
                  <c:v>230</c:v>
                </c:pt>
                <c:pt idx="122">
                  <c:v>284</c:v>
                </c:pt>
                <c:pt idx="123">
                  <c:v>343</c:v>
                </c:pt>
                <c:pt idx="124">
                  <c:v>359</c:v>
                </c:pt>
                <c:pt idx="125">
                  <c:v>362</c:v>
                </c:pt>
                <c:pt idx="126">
                  <c:v>271</c:v>
                </c:pt>
                <c:pt idx="127">
                  <c:v>153</c:v>
                </c:pt>
                <c:pt idx="128">
                  <c:v>231</c:v>
                </c:pt>
                <c:pt idx="129">
                  <c:v>163</c:v>
                </c:pt>
                <c:pt idx="130">
                  <c:v>272</c:v>
                </c:pt>
                <c:pt idx="131">
                  <c:v>298.800587199061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377024"/>
        <c:axId val="178542784"/>
      </c:lineChart>
      <c:catAx>
        <c:axId val="141377024"/>
        <c:scaling>
          <c:orientation val="minMax"/>
        </c:scaling>
        <c:delete val="0"/>
        <c:axPos val="b"/>
        <c:majorTickMark val="out"/>
        <c:minorTickMark val="none"/>
        <c:tickLblPos val="nextTo"/>
        <c:crossAx val="178542784"/>
        <c:crosses val="autoZero"/>
        <c:auto val="1"/>
        <c:lblAlgn val="ctr"/>
        <c:lblOffset val="100"/>
        <c:noMultiLvlLbl val="0"/>
      </c:catAx>
      <c:valAx>
        <c:axId val="178542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3770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1481665</xdr:colOff>
      <xdr:row>17</xdr:row>
      <xdr:rowOff>21168</xdr:rowOff>
    </xdr:from>
    <xdr:to>
      <xdr:col>7</xdr:col>
      <xdr:colOff>397932</xdr:colOff>
      <xdr:row>34</xdr:row>
      <xdr:rowOff>59267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28794</xdr:colOff>
      <xdr:row>50</xdr:row>
      <xdr:rowOff>101225</xdr:rowOff>
    </xdr:from>
    <xdr:to>
      <xdr:col>17</xdr:col>
      <xdr:colOff>304800</xdr:colOff>
      <xdr:row>87</xdr:row>
      <xdr:rowOff>116541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485623</xdr:colOff>
      <xdr:row>52</xdr:row>
      <xdr:rowOff>144477</xdr:rowOff>
    </xdr:from>
    <xdr:to>
      <xdr:col>41</xdr:col>
      <xdr:colOff>478971</xdr:colOff>
      <xdr:row>93</xdr:row>
      <xdr:rowOff>87086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547489</xdr:colOff>
      <xdr:row>6</xdr:row>
      <xdr:rowOff>6955</xdr:rowOff>
    </xdr:from>
    <xdr:to>
      <xdr:col>36</xdr:col>
      <xdr:colOff>348342</xdr:colOff>
      <xdr:row>41</xdr:row>
      <xdr:rowOff>87086</xdr:rowOff>
    </xdr:to>
    <xdr:graphicFrame macro="">
      <xdr:nvGraphicFramePr>
        <xdr:cNvPr id="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76200</xdr:colOff>
      <xdr:row>1</xdr:row>
      <xdr:rowOff>17961</xdr:rowOff>
    </xdr:from>
    <xdr:to>
      <xdr:col>17</xdr:col>
      <xdr:colOff>342900</xdr:colOff>
      <xdr:row>43</xdr:row>
      <xdr:rowOff>57150</xdr:rowOff>
    </xdr:to>
    <xdr:graphicFrame macro="">
      <xdr:nvGraphicFramePr>
        <xdr:cNvPr id="6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495300</xdr:colOff>
      <xdr:row>2</xdr:row>
      <xdr:rowOff>146539</xdr:rowOff>
    </xdr:from>
    <xdr:to>
      <xdr:col>22</xdr:col>
      <xdr:colOff>213360</xdr:colOff>
      <xdr:row>29</xdr:row>
      <xdr:rowOff>100819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455816</xdr:colOff>
      <xdr:row>23</xdr:row>
      <xdr:rowOff>93171</xdr:rowOff>
    </xdr:from>
    <xdr:to>
      <xdr:col>45</xdr:col>
      <xdr:colOff>234143</xdr:colOff>
      <xdr:row>33</xdr:row>
      <xdr:rowOff>147205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439190</xdr:colOff>
      <xdr:row>36</xdr:row>
      <xdr:rowOff>58882</xdr:rowOff>
    </xdr:from>
    <xdr:to>
      <xdr:col>44</xdr:col>
      <xdr:colOff>217517</xdr:colOff>
      <xdr:row>46</xdr:row>
      <xdr:rowOff>103909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52648</xdr:colOff>
      <xdr:row>50</xdr:row>
      <xdr:rowOff>76200</xdr:rowOff>
    </xdr:from>
    <xdr:to>
      <xdr:col>43</xdr:col>
      <xdr:colOff>52648</xdr:colOff>
      <xdr:row>60</xdr:row>
      <xdr:rowOff>114300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314961</xdr:colOff>
      <xdr:row>129</xdr:row>
      <xdr:rowOff>140971</xdr:rowOff>
    </xdr:from>
    <xdr:to>
      <xdr:col>45</xdr:col>
      <xdr:colOff>99061</xdr:colOff>
      <xdr:row>139</xdr:row>
      <xdr:rowOff>163832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38</xdr:col>
      <xdr:colOff>391161</xdr:colOff>
      <xdr:row>118</xdr:row>
      <xdr:rowOff>26671</xdr:rowOff>
    </xdr:from>
    <xdr:to>
      <xdr:col>45</xdr:col>
      <xdr:colOff>175261</xdr:colOff>
      <xdr:row>128</xdr:row>
      <xdr:rowOff>41912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187961</xdr:colOff>
      <xdr:row>104</xdr:row>
      <xdr:rowOff>90171</xdr:rowOff>
    </xdr:from>
    <xdr:to>
      <xdr:col>44</xdr:col>
      <xdr:colOff>187961</xdr:colOff>
      <xdr:row>114</xdr:row>
      <xdr:rowOff>113032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37</xdr:col>
      <xdr:colOff>441961</xdr:colOff>
      <xdr:row>72</xdr:row>
      <xdr:rowOff>64771</xdr:rowOff>
    </xdr:from>
    <xdr:to>
      <xdr:col>44</xdr:col>
      <xdr:colOff>226061</xdr:colOff>
      <xdr:row>82</xdr:row>
      <xdr:rowOff>87630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42</xdr:col>
      <xdr:colOff>60960</xdr:colOff>
      <xdr:row>48</xdr:row>
      <xdr:rowOff>88901</xdr:rowOff>
    </xdr:from>
    <xdr:to>
      <xdr:col>55</xdr:col>
      <xdr:colOff>177799</xdr:colOff>
      <xdr:row>70</xdr:row>
      <xdr:rowOff>105411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38</xdr:col>
      <xdr:colOff>251461</xdr:colOff>
      <xdr:row>93</xdr:row>
      <xdr:rowOff>26671</xdr:rowOff>
    </xdr:from>
    <xdr:to>
      <xdr:col>44</xdr:col>
      <xdr:colOff>251461</xdr:colOff>
      <xdr:row>103</xdr:row>
      <xdr:rowOff>49532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30</xdr:col>
      <xdr:colOff>266700</xdr:colOff>
      <xdr:row>0</xdr:row>
      <xdr:rowOff>80010</xdr:rowOff>
    </xdr:from>
    <xdr:to>
      <xdr:col>41</xdr:col>
      <xdr:colOff>259080</xdr:colOff>
      <xdr:row>17</xdr:row>
      <xdr:rowOff>160020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34</xdr:col>
      <xdr:colOff>241299</xdr:colOff>
      <xdr:row>123</xdr:row>
      <xdr:rowOff>156935</xdr:rowOff>
    </xdr:from>
    <xdr:to>
      <xdr:col>50</xdr:col>
      <xdr:colOff>61685</xdr:colOff>
      <xdr:row>150</xdr:row>
      <xdr:rowOff>112486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31</xdr:col>
      <xdr:colOff>903514</xdr:colOff>
      <xdr:row>155</xdr:row>
      <xdr:rowOff>65316</xdr:rowOff>
    </xdr:from>
    <xdr:to>
      <xdr:col>45</xdr:col>
      <xdr:colOff>250372</xdr:colOff>
      <xdr:row>182</xdr:row>
      <xdr:rowOff>43545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zoomScale="90" zoomScaleNormal="90" workbookViewId="0">
      <selection activeCell="I23" sqref="I23"/>
    </sheetView>
  </sheetViews>
  <sheetFormatPr defaultRowHeight="15" customHeight="1" x14ac:dyDescent="0.25"/>
  <cols>
    <col min="1" max="1" width="24.21875" customWidth="1"/>
    <col min="2" max="4" width="13.109375" customWidth="1"/>
    <col min="5" max="5" width="13.109375" style="3" customWidth="1"/>
    <col min="6" max="13" width="13.109375" customWidth="1"/>
    <col min="14" max="14" width="6.6640625" customWidth="1"/>
    <col min="15" max="15" width="9.33203125" customWidth="1"/>
    <col min="16" max="16" width="12.44140625" customWidth="1"/>
  </cols>
  <sheetData>
    <row r="1" spans="1:19" ht="31.8" customHeight="1" x14ac:dyDescent="0.3">
      <c r="A1" s="1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8" t="s">
        <v>11</v>
      </c>
      <c r="N1" s="11" t="s">
        <v>12</v>
      </c>
      <c r="P1" s="14" t="s">
        <v>89</v>
      </c>
    </row>
    <row r="2" spans="1:19" ht="15" customHeight="1" x14ac:dyDescent="0.25">
      <c r="A2" s="5">
        <v>2012</v>
      </c>
      <c r="B2" s="6">
        <v>233</v>
      </c>
      <c r="C2" s="6">
        <v>106</v>
      </c>
      <c r="D2" s="6">
        <v>177</v>
      </c>
      <c r="E2" s="7">
        <v>175</v>
      </c>
      <c r="F2" s="6">
        <v>178</v>
      </c>
      <c r="G2" s="6">
        <v>170</v>
      </c>
      <c r="H2" s="6">
        <v>199</v>
      </c>
      <c r="I2" s="6">
        <v>117</v>
      </c>
      <c r="J2" s="6">
        <v>122</v>
      </c>
      <c r="K2" s="6">
        <v>136</v>
      </c>
      <c r="L2" s="6">
        <v>130</v>
      </c>
      <c r="M2" s="9">
        <v>68</v>
      </c>
      <c r="N2" s="12">
        <f>SUM(B2:M2)</f>
        <v>1811</v>
      </c>
      <c r="O2" s="2"/>
      <c r="P2">
        <f>N2/COUNT(B2:M2)</f>
        <v>150.91666666666666</v>
      </c>
    </row>
    <row r="3" spans="1:19" ht="15" customHeight="1" x14ac:dyDescent="0.25">
      <c r="A3" s="5">
        <v>2013</v>
      </c>
      <c r="B3" s="6">
        <v>179</v>
      </c>
      <c r="C3" s="6">
        <v>104</v>
      </c>
      <c r="D3" s="6">
        <v>133</v>
      </c>
      <c r="E3" s="7">
        <v>163</v>
      </c>
      <c r="F3" s="6">
        <v>175</v>
      </c>
      <c r="G3" s="6">
        <v>163</v>
      </c>
      <c r="H3" s="6">
        <v>156</v>
      </c>
      <c r="I3" s="6">
        <v>123</v>
      </c>
      <c r="J3" s="6">
        <v>145</v>
      </c>
      <c r="K3" s="6">
        <v>197</v>
      </c>
      <c r="L3" s="6">
        <v>187</v>
      </c>
      <c r="M3" s="9">
        <v>139</v>
      </c>
      <c r="N3" s="12">
        <f t="shared" ref="N3:N12" si="0">SUM(B3:M3)</f>
        <v>1864</v>
      </c>
      <c r="O3" s="2"/>
      <c r="P3">
        <f t="shared" ref="P3:P12" si="1">N3/COUNT(B3:M3)</f>
        <v>155.33333333333334</v>
      </c>
    </row>
    <row r="4" spans="1:19" ht="15" customHeight="1" x14ac:dyDescent="0.25">
      <c r="A4" s="5">
        <v>2014</v>
      </c>
      <c r="B4" s="6">
        <v>293</v>
      </c>
      <c r="C4" s="6">
        <v>157</v>
      </c>
      <c r="D4" s="6">
        <v>168</v>
      </c>
      <c r="E4" s="7">
        <v>174</v>
      </c>
      <c r="F4" s="6">
        <v>342</v>
      </c>
      <c r="G4" s="6">
        <v>227</v>
      </c>
      <c r="H4" s="6">
        <v>207</v>
      </c>
      <c r="I4" s="6">
        <v>150</v>
      </c>
      <c r="J4" s="6">
        <v>171</v>
      </c>
      <c r="K4" s="6">
        <v>217</v>
      </c>
      <c r="L4" s="6">
        <v>149</v>
      </c>
      <c r="M4" s="9">
        <v>178</v>
      </c>
      <c r="N4" s="12">
        <f t="shared" si="0"/>
        <v>2433</v>
      </c>
      <c r="O4" s="2"/>
      <c r="P4">
        <f t="shared" si="1"/>
        <v>202.75</v>
      </c>
    </row>
    <row r="5" spans="1:19" ht="15" customHeight="1" x14ac:dyDescent="0.25">
      <c r="A5" s="5">
        <v>2015</v>
      </c>
      <c r="B5" s="6">
        <v>223</v>
      </c>
      <c r="C5" s="6">
        <v>159</v>
      </c>
      <c r="D5" s="6">
        <v>310</v>
      </c>
      <c r="E5" s="7">
        <v>370</v>
      </c>
      <c r="F5" s="6">
        <v>282</v>
      </c>
      <c r="G5" s="6">
        <v>225</v>
      </c>
      <c r="H5" s="6">
        <v>216</v>
      </c>
      <c r="I5" s="6">
        <v>130</v>
      </c>
      <c r="J5" s="6">
        <v>206</v>
      </c>
      <c r="K5" s="6">
        <v>147</v>
      </c>
      <c r="L5" s="6">
        <v>197</v>
      </c>
      <c r="M5" s="9">
        <v>203</v>
      </c>
      <c r="N5" s="12">
        <f t="shared" si="0"/>
        <v>2668</v>
      </c>
      <c r="O5" s="2"/>
      <c r="P5">
        <f t="shared" si="1"/>
        <v>222.33333333333334</v>
      </c>
    </row>
    <row r="6" spans="1:19" ht="15" customHeight="1" x14ac:dyDescent="0.25">
      <c r="A6" s="5">
        <v>2016</v>
      </c>
      <c r="B6" s="6">
        <v>160</v>
      </c>
      <c r="C6" s="6">
        <v>181</v>
      </c>
      <c r="D6" s="6">
        <v>225</v>
      </c>
      <c r="E6" s="7">
        <v>417</v>
      </c>
      <c r="F6" s="6">
        <v>442</v>
      </c>
      <c r="G6" s="6">
        <v>245</v>
      </c>
      <c r="H6" s="6">
        <v>263</v>
      </c>
      <c r="I6" s="6">
        <v>118</v>
      </c>
      <c r="J6" s="6">
        <v>144</v>
      </c>
      <c r="K6" s="6">
        <v>144</v>
      </c>
      <c r="L6" s="6">
        <v>188</v>
      </c>
      <c r="M6" s="9">
        <v>91</v>
      </c>
      <c r="N6" s="12">
        <f t="shared" si="0"/>
        <v>2618</v>
      </c>
      <c r="O6" s="2"/>
      <c r="P6">
        <f>N6/COUNT(B6:M6)</f>
        <v>218.16666666666666</v>
      </c>
    </row>
    <row r="7" spans="1:19" ht="15" customHeight="1" x14ac:dyDescent="0.25">
      <c r="A7" s="5">
        <v>2017</v>
      </c>
      <c r="B7" s="6">
        <v>310</v>
      </c>
      <c r="C7" s="6">
        <v>226</v>
      </c>
      <c r="D7" s="6">
        <v>254</v>
      </c>
      <c r="E7" s="7">
        <v>385</v>
      </c>
      <c r="F7" s="6">
        <v>318</v>
      </c>
      <c r="G7" s="6">
        <v>318</v>
      </c>
      <c r="H7" s="6">
        <v>181</v>
      </c>
      <c r="I7" s="6">
        <v>173</v>
      </c>
      <c r="J7" s="6">
        <v>248</v>
      </c>
      <c r="K7" s="6">
        <v>262</v>
      </c>
      <c r="L7" s="6">
        <v>209</v>
      </c>
      <c r="M7" s="9">
        <v>201</v>
      </c>
      <c r="N7" s="12">
        <f t="shared" si="0"/>
        <v>3085</v>
      </c>
      <c r="O7" s="2"/>
      <c r="P7">
        <f t="shared" si="1"/>
        <v>257.08333333333331</v>
      </c>
    </row>
    <row r="8" spans="1:19" ht="15" customHeight="1" x14ac:dyDescent="0.25">
      <c r="A8" s="5">
        <v>2018</v>
      </c>
      <c r="B8" s="6">
        <v>313</v>
      </c>
      <c r="C8" s="6">
        <v>144</v>
      </c>
      <c r="D8" s="6">
        <v>206</v>
      </c>
      <c r="E8" s="7">
        <v>300</v>
      </c>
      <c r="F8" s="6">
        <v>276</v>
      </c>
      <c r="G8" s="6">
        <v>296</v>
      </c>
      <c r="H8" s="6">
        <v>281</v>
      </c>
      <c r="I8" s="6">
        <v>335</v>
      </c>
      <c r="J8" s="6">
        <v>44</v>
      </c>
      <c r="K8" s="6">
        <v>195</v>
      </c>
      <c r="L8" s="6">
        <v>141</v>
      </c>
      <c r="M8" s="9">
        <v>131</v>
      </c>
      <c r="N8" s="12">
        <f t="shared" si="0"/>
        <v>2662</v>
      </c>
      <c r="O8" s="2"/>
      <c r="P8">
        <f t="shared" si="1"/>
        <v>221.83333333333334</v>
      </c>
    </row>
    <row r="9" spans="1:19" ht="15" customHeight="1" x14ac:dyDescent="0.25">
      <c r="A9" s="5">
        <v>2019</v>
      </c>
      <c r="B9" s="6">
        <v>370</v>
      </c>
      <c r="C9" s="6">
        <v>240</v>
      </c>
      <c r="D9" s="6">
        <v>219</v>
      </c>
      <c r="E9" s="7">
        <v>425</v>
      </c>
      <c r="F9" s="6">
        <v>451</v>
      </c>
      <c r="G9" s="6">
        <v>386</v>
      </c>
      <c r="H9" s="6">
        <v>545</v>
      </c>
      <c r="I9" s="6">
        <v>828</v>
      </c>
      <c r="J9" s="6">
        <v>65</v>
      </c>
      <c r="K9" s="6">
        <v>121</v>
      </c>
      <c r="L9" s="6">
        <v>254</v>
      </c>
      <c r="M9" s="9">
        <v>116</v>
      </c>
      <c r="N9" s="12">
        <f t="shared" si="0"/>
        <v>4020</v>
      </c>
      <c r="O9" s="2"/>
      <c r="P9">
        <f t="shared" si="1"/>
        <v>335</v>
      </c>
    </row>
    <row r="10" spans="1:19" ht="15" customHeight="1" x14ac:dyDescent="0.25">
      <c r="A10" s="5">
        <v>2020</v>
      </c>
      <c r="B10" s="6">
        <v>358</v>
      </c>
      <c r="C10" s="6">
        <v>190</v>
      </c>
      <c r="D10" s="6">
        <v>108</v>
      </c>
      <c r="E10" s="7">
        <v>175</v>
      </c>
      <c r="F10" s="6">
        <v>214</v>
      </c>
      <c r="G10" s="6">
        <v>298</v>
      </c>
      <c r="H10" s="6">
        <v>326</v>
      </c>
      <c r="I10" s="6">
        <v>216</v>
      </c>
      <c r="J10" s="6">
        <v>165</v>
      </c>
      <c r="K10" s="6">
        <v>229</v>
      </c>
      <c r="L10" s="6">
        <v>263</v>
      </c>
      <c r="M10" s="9">
        <v>155</v>
      </c>
      <c r="N10" s="12">
        <f t="shared" si="0"/>
        <v>2697</v>
      </c>
      <c r="O10" s="2"/>
      <c r="P10">
        <f t="shared" si="1"/>
        <v>224.75</v>
      </c>
    </row>
    <row r="11" spans="1:19" ht="15" customHeight="1" x14ac:dyDescent="0.25">
      <c r="A11" s="5">
        <v>2021</v>
      </c>
      <c r="B11" s="6">
        <v>235</v>
      </c>
      <c r="C11" s="6">
        <v>242</v>
      </c>
      <c r="D11" s="6">
        <v>302</v>
      </c>
      <c r="E11" s="7">
        <v>369</v>
      </c>
      <c r="F11" s="6">
        <v>326</v>
      </c>
      <c r="G11" s="6">
        <v>490</v>
      </c>
      <c r="H11" s="6">
        <v>228</v>
      </c>
      <c r="I11" s="6">
        <v>257</v>
      </c>
      <c r="J11" s="6">
        <v>249</v>
      </c>
      <c r="K11" s="6">
        <v>302</v>
      </c>
      <c r="L11" s="6">
        <v>302</v>
      </c>
      <c r="M11" s="9">
        <v>243</v>
      </c>
      <c r="N11" s="12">
        <f t="shared" si="0"/>
        <v>3545</v>
      </c>
      <c r="O11" s="2"/>
      <c r="P11">
        <f t="shared" si="1"/>
        <v>295.41666666666669</v>
      </c>
    </row>
    <row r="12" spans="1:19" ht="15" customHeight="1" thickBot="1" x14ac:dyDescent="0.3">
      <c r="A12" s="5">
        <v>2022</v>
      </c>
      <c r="B12" s="6">
        <v>233</v>
      </c>
      <c r="C12" s="6">
        <v>230</v>
      </c>
      <c r="D12" s="6">
        <v>284</v>
      </c>
      <c r="E12" s="7">
        <v>343</v>
      </c>
      <c r="F12" s="6">
        <v>359</v>
      </c>
      <c r="G12" s="6">
        <v>362</v>
      </c>
      <c r="H12" s="6">
        <v>271</v>
      </c>
      <c r="I12" s="6">
        <v>153</v>
      </c>
      <c r="J12" s="6">
        <v>231</v>
      </c>
      <c r="K12" s="6">
        <v>163</v>
      </c>
      <c r="L12" s="6">
        <v>272</v>
      </c>
      <c r="M12" s="9">
        <v>249</v>
      </c>
      <c r="N12" s="13">
        <f t="shared" si="0"/>
        <v>3150</v>
      </c>
      <c r="O12" s="2"/>
      <c r="P12">
        <f t="shared" si="1"/>
        <v>262.5</v>
      </c>
    </row>
    <row r="14" spans="1:19" ht="15" customHeight="1" x14ac:dyDescent="0.25">
      <c r="A14" s="14" t="s">
        <v>88</v>
      </c>
      <c r="B14" s="30">
        <f>SUM(B2:B12)/COUNT(B2:B12)</f>
        <v>264.27272727272725</v>
      </c>
      <c r="C14" s="30">
        <f t="shared" ref="C14:M14" si="2">SUM(C2:C12)/COUNT(C2:C12)</f>
        <v>179.90909090909091</v>
      </c>
      <c r="D14" s="30">
        <f t="shared" si="2"/>
        <v>216.90909090909091</v>
      </c>
      <c r="E14" s="30">
        <f t="shared" si="2"/>
        <v>299.63636363636363</v>
      </c>
      <c r="F14" s="30">
        <f t="shared" si="2"/>
        <v>305.72727272727275</v>
      </c>
      <c r="G14" s="30">
        <f t="shared" si="2"/>
        <v>289.09090909090907</v>
      </c>
      <c r="H14" s="30">
        <f t="shared" si="2"/>
        <v>261.18181818181819</v>
      </c>
      <c r="I14" s="30">
        <f t="shared" si="2"/>
        <v>236.36363636363637</v>
      </c>
      <c r="J14" s="30">
        <f t="shared" si="2"/>
        <v>162.72727272727272</v>
      </c>
      <c r="K14" s="30">
        <f t="shared" si="2"/>
        <v>192.09090909090909</v>
      </c>
      <c r="L14" s="30">
        <f t="shared" si="2"/>
        <v>208.36363636363637</v>
      </c>
      <c r="M14" s="30">
        <f t="shared" si="2"/>
        <v>161.27272727272728</v>
      </c>
      <c r="S14" s="10"/>
    </row>
    <row r="24" spans="11:11" ht="15" customHeight="1" x14ac:dyDescent="0.25">
      <c r="K24" t="e">
        <f>δφ</f>
        <v>#NAME?</v>
      </c>
    </row>
  </sheetData>
  <pageMargins left="0.7" right="0.7" top="0.75" bottom="0.75" header="0.3" footer="0.3"/>
  <ignoredErrors>
    <ignoredError sqref="N2 N3:N12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13" sqref="B13:B14"/>
    </sheetView>
  </sheetViews>
  <sheetFormatPr defaultRowHeight="13.2" x14ac:dyDescent="0.25"/>
  <cols>
    <col min="1" max="1" width="21.21875" customWidth="1"/>
    <col min="2" max="2" width="29.6640625" customWidth="1"/>
  </cols>
  <sheetData>
    <row r="1" spans="1:2" x14ac:dyDescent="0.25">
      <c r="A1" s="43" t="s">
        <v>121</v>
      </c>
      <c r="B1" s="43" t="s">
        <v>123</v>
      </c>
    </row>
    <row r="2" spans="1:2" x14ac:dyDescent="0.25">
      <c r="A2" s="39">
        <v>-0.10451332450939055</v>
      </c>
      <c r="B2" s="39">
        <v>1</v>
      </c>
    </row>
    <row r="3" spans="1:2" x14ac:dyDescent="0.25">
      <c r="A3" s="39">
        <v>-8.1955027260097041E-3</v>
      </c>
      <c r="B3" s="39">
        <v>0</v>
      </c>
    </row>
    <row r="4" spans="1:2" x14ac:dyDescent="0.25">
      <c r="A4" s="39">
        <v>8.812231905737114E-2</v>
      </c>
      <c r="B4" s="39">
        <v>6</v>
      </c>
    </row>
    <row r="5" spans="1:2" x14ac:dyDescent="0.25">
      <c r="A5" s="39">
        <v>0.184440140840752</v>
      </c>
      <c r="B5" s="39">
        <v>4</v>
      </c>
    </row>
    <row r="6" spans="1:2" x14ac:dyDescent="0.25">
      <c r="A6" s="39">
        <v>0.28075796262413283</v>
      </c>
      <c r="B6" s="39">
        <v>2</v>
      </c>
    </row>
    <row r="7" spans="1:2" ht="13.8" thickBot="1" x14ac:dyDescent="0.3">
      <c r="A7" s="40" t="s">
        <v>122</v>
      </c>
      <c r="B7" s="4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10"/>
  <sheetViews>
    <sheetView zoomScaleNormal="100" workbookViewId="0">
      <selection activeCell="B17" sqref="B17"/>
    </sheetView>
  </sheetViews>
  <sheetFormatPr defaultRowHeight="13.2" x14ac:dyDescent="0.25"/>
  <cols>
    <col min="1" max="1" width="14.88671875" customWidth="1"/>
    <col min="2" max="2" width="11.21875" customWidth="1"/>
    <col min="3" max="4" width="9.77734375" customWidth="1"/>
    <col min="5" max="5" width="16.5546875" customWidth="1"/>
    <col min="6" max="6" width="16.88671875" customWidth="1"/>
    <col min="7" max="7" width="18.6640625" customWidth="1"/>
    <col min="9" max="9" width="8.88671875" customWidth="1"/>
    <col min="11" max="11" width="14.109375" customWidth="1"/>
    <col min="13" max="13" width="14" customWidth="1"/>
    <col min="15" max="15" width="11.88671875" customWidth="1"/>
    <col min="17" max="17" width="13.33203125" customWidth="1"/>
    <col min="19" max="19" width="12.21875" bestFit="1" customWidth="1"/>
    <col min="21" max="21" width="14.5546875" customWidth="1"/>
    <col min="22" max="22" width="10.44140625" customWidth="1"/>
    <col min="25" max="25" width="11.6640625" customWidth="1"/>
    <col min="26" max="26" width="9.88671875" customWidth="1"/>
    <col min="27" max="27" width="11.6640625" customWidth="1"/>
    <col min="28" max="28" width="8.44140625" customWidth="1"/>
    <col min="29" max="29" width="12.88671875" customWidth="1"/>
    <col min="30" max="30" width="14.44140625" customWidth="1"/>
    <col min="31" max="31" width="11.88671875" customWidth="1"/>
    <col min="32" max="32" width="14.44140625" customWidth="1"/>
    <col min="33" max="33" width="12.44140625" customWidth="1"/>
    <col min="34" max="34" width="14.44140625" customWidth="1"/>
    <col min="35" max="35" width="12.44140625" customWidth="1"/>
    <col min="36" max="36" width="14.44140625" customWidth="1"/>
  </cols>
  <sheetData>
    <row r="1" spans="1:36" s="18" customFormat="1" ht="15" customHeight="1" x14ac:dyDescent="0.25">
      <c r="A1" s="17" t="s">
        <v>36</v>
      </c>
      <c r="B1" s="17" t="s">
        <v>14</v>
      </c>
      <c r="C1" s="17" t="s">
        <v>13</v>
      </c>
      <c r="D1" s="17" t="s">
        <v>91</v>
      </c>
      <c r="E1" s="17" t="s">
        <v>90</v>
      </c>
      <c r="F1" s="20" t="s">
        <v>43</v>
      </c>
      <c r="G1" s="18" t="s">
        <v>44</v>
      </c>
      <c r="H1" s="17" t="s">
        <v>15</v>
      </c>
      <c r="I1" s="18" t="s">
        <v>45</v>
      </c>
      <c r="J1" s="17" t="s">
        <v>16</v>
      </c>
      <c r="K1" s="18" t="s">
        <v>46</v>
      </c>
      <c r="L1" s="17" t="s">
        <v>17</v>
      </c>
      <c r="M1" s="18" t="s">
        <v>48</v>
      </c>
      <c r="N1" s="17" t="s">
        <v>18</v>
      </c>
      <c r="O1" s="18" t="s">
        <v>47</v>
      </c>
      <c r="P1" s="17" t="s">
        <v>19</v>
      </c>
      <c r="Q1" s="18" t="s">
        <v>49</v>
      </c>
      <c r="R1" s="17" t="s">
        <v>20</v>
      </c>
      <c r="S1" s="18" t="s">
        <v>50</v>
      </c>
      <c r="T1" s="17" t="s">
        <v>21</v>
      </c>
      <c r="U1" s="18" t="s">
        <v>68</v>
      </c>
      <c r="V1" s="17" t="s">
        <v>22</v>
      </c>
      <c r="W1" s="18" t="s">
        <v>69</v>
      </c>
      <c r="X1" s="17" t="s">
        <v>40</v>
      </c>
      <c r="Y1" s="18" t="s">
        <v>70</v>
      </c>
      <c r="Z1" s="17" t="s">
        <v>23</v>
      </c>
      <c r="AA1" s="18" t="s">
        <v>71</v>
      </c>
      <c r="AB1" s="17" t="s">
        <v>24</v>
      </c>
      <c r="AC1" s="18" t="s">
        <v>72</v>
      </c>
      <c r="AD1" s="17" t="s">
        <v>25</v>
      </c>
      <c r="AE1" s="18" t="s">
        <v>73</v>
      </c>
      <c r="AF1" s="17" t="s">
        <v>37</v>
      </c>
      <c r="AG1" s="18" t="s">
        <v>74</v>
      </c>
      <c r="AH1" s="17" t="s">
        <v>38</v>
      </c>
      <c r="AI1" s="18" t="s">
        <v>75</v>
      </c>
      <c r="AJ1" s="17" t="s">
        <v>39</v>
      </c>
    </row>
    <row r="2" spans="1:36" x14ac:dyDescent="0.25">
      <c r="A2" s="15"/>
      <c r="B2" s="15">
        <v>1</v>
      </c>
      <c r="C2" s="15">
        <v>233</v>
      </c>
      <c r="D2" s="15">
        <v>231.46212121212122</v>
      </c>
      <c r="E2" s="15">
        <v>150.91666666666666</v>
      </c>
      <c r="F2" s="15">
        <f>(C2-C134)^2</f>
        <v>2.3650711662075112</v>
      </c>
      <c r="H2" s="15"/>
      <c r="J2" s="15"/>
      <c r="L2" s="15"/>
      <c r="N2" s="15"/>
      <c r="P2" s="15"/>
      <c r="R2" s="15"/>
      <c r="T2" s="15"/>
      <c r="V2" s="15"/>
      <c r="X2" s="15"/>
      <c r="Z2" s="15"/>
      <c r="AB2" s="15"/>
      <c r="AD2" s="15"/>
    </row>
    <row r="3" spans="1:36" x14ac:dyDescent="0.25">
      <c r="A3" s="15"/>
      <c r="B3" s="15">
        <v>2</v>
      </c>
      <c r="C3" s="15">
        <v>106</v>
      </c>
      <c r="D3" s="15">
        <v>231.46212121212122</v>
      </c>
      <c r="E3" s="15">
        <v>150.91666666666666</v>
      </c>
      <c r="F3" s="15">
        <f>(C3-C134)^2</f>
        <v>15740.743859044996</v>
      </c>
      <c r="G3">
        <f t="shared" ref="G3:G34" si="0">(C3-$C$134)*(H3-$C$134)</f>
        <v>-192.94553489439778</v>
      </c>
      <c r="H3" s="15">
        <f t="shared" ref="H3:H34" si="1">C2</f>
        <v>233</v>
      </c>
      <c r="J3" s="15"/>
      <c r="L3" s="15"/>
      <c r="N3" s="15"/>
      <c r="P3" s="15"/>
      <c r="R3" s="15"/>
      <c r="T3" s="15"/>
      <c r="V3" s="15"/>
      <c r="X3" s="15"/>
      <c r="Z3" s="15"/>
      <c r="AB3" s="15"/>
      <c r="AD3" s="15"/>
    </row>
    <row r="4" spans="1:36" x14ac:dyDescent="0.25">
      <c r="A4" s="15"/>
      <c r="B4" s="15">
        <v>3</v>
      </c>
      <c r="C4" s="15">
        <v>177</v>
      </c>
      <c r="D4" s="15">
        <v>231.46212121212122</v>
      </c>
      <c r="E4" s="15">
        <v>150.91666666666666</v>
      </c>
      <c r="F4" s="15">
        <f>(C4-C134)^2</f>
        <v>2966.122646923784</v>
      </c>
      <c r="G4">
        <f t="shared" si="0"/>
        <v>6832.9332529843905</v>
      </c>
      <c r="H4" s="15">
        <f t="shared" si="1"/>
        <v>106</v>
      </c>
      <c r="I4">
        <f t="shared" ref="I4:I18" si="2">(C4-$C134)*(J4-$C$134)</f>
        <v>-83.75614095500427</v>
      </c>
      <c r="J4" s="15">
        <f t="shared" ref="J4:J35" si="3">H3</f>
        <v>233</v>
      </c>
      <c r="L4" s="15"/>
      <c r="N4" s="15"/>
      <c r="P4" s="15"/>
      <c r="R4" s="15"/>
      <c r="T4" s="15"/>
      <c r="V4" s="15"/>
      <c r="X4" s="15"/>
      <c r="Z4" s="15"/>
      <c r="AB4" s="15"/>
      <c r="AD4" s="15"/>
    </row>
    <row r="5" spans="1:36" x14ac:dyDescent="0.25">
      <c r="A5" s="15"/>
      <c r="B5" s="15">
        <v>4</v>
      </c>
      <c r="C5" s="15">
        <v>175</v>
      </c>
      <c r="D5" s="15">
        <v>231.46212121212122</v>
      </c>
      <c r="E5" s="15">
        <v>150.91666666666666</v>
      </c>
      <c r="F5" s="15">
        <f>(C5-C134)^2</f>
        <v>3187.971131772269</v>
      </c>
      <c r="G5">
        <f t="shared" si="0"/>
        <v>3075.0468893480265</v>
      </c>
      <c r="H5" s="15">
        <f t="shared" si="1"/>
        <v>177</v>
      </c>
      <c r="I5">
        <f t="shared" si="2"/>
        <v>-21955.871212121212</v>
      </c>
      <c r="J5" s="15">
        <f t="shared" si="3"/>
        <v>106</v>
      </c>
      <c r="K5">
        <f t="shared" ref="K5:K36" si="4">(C5-$C$134)*(L5-$C$134)</f>
        <v>-86.831898530761833</v>
      </c>
      <c r="L5" s="15">
        <f t="shared" ref="L5:L36" si="5">J4</f>
        <v>233</v>
      </c>
      <c r="N5" s="15"/>
      <c r="P5" s="15"/>
      <c r="R5" s="15"/>
      <c r="T5" s="15"/>
      <c r="V5" s="15"/>
      <c r="X5" s="15"/>
      <c r="Z5" s="15"/>
      <c r="AB5" s="15"/>
      <c r="AD5" s="15"/>
    </row>
    <row r="6" spans="1:36" x14ac:dyDescent="0.25">
      <c r="A6" s="15"/>
      <c r="B6" s="15">
        <v>5</v>
      </c>
      <c r="C6" s="15">
        <v>178</v>
      </c>
      <c r="D6" s="15">
        <v>231.46212121212122</v>
      </c>
      <c r="E6" s="15">
        <v>150.91666666666666</v>
      </c>
      <c r="F6" s="15">
        <f>(C6-C134)^2</f>
        <v>2858.1984044995415</v>
      </c>
      <c r="G6">
        <f t="shared" si="0"/>
        <v>3018.5847681359051</v>
      </c>
      <c r="H6" s="15">
        <f t="shared" si="1"/>
        <v>175</v>
      </c>
      <c r="I6">
        <f t="shared" si="2"/>
        <v>-9694.257575757576</v>
      </c>
      <c r="J6" s="15">
        <f t="shared" si="3"/>
        <v>177</v>
      </c>
      <c r="K6">
        <f t="shared" si="4"/>
        <v>6707.4711317722695</v>
      </c>
      <c r="L6" s="15">
        <f t="shared" si="5"/>
        <v>106</v>
      </c>
      <c r="M6">
        <f t="shared" ref="M6:M37" si="6">(C6-$C$134)*(N6-$C$134)</f>
        <v>-82.218262167125488</v>
      </c>
      <c r="N6" s="15">
        <f t="shared" ref="N6:N37" si="7">L5</f>
        <v>233</v>
      </c>
      <c r="P6" s="15"/>
      <c r="R6" s="15"/>
      <c r="T6" s="15"/>
      <c r="V6" s="15"/>
      <c r="X6" s="15"/>
      <c r="Z6" s="15"/>
      <c r="AB6" s="15"/>
      <c r="AD6" s="15"/>
    </row>
    <row r="7" spans="1:36" x14ac:dyDescent="0.25">
      <c r="A7" s="15"/>
      <c r="B7" s="15">
        <v>6</v>
      </c>
      <c r="C7" s="15">
        <v>170</v>
      </c>
      <c r="D7" s="15">
        <v>231.46212121212122</v>
      </c>
      <c r="E7" s="15">
        <v>150.91666666666666</v>
      </c>
      <c r="F7" s="15">
        <f>(C7-C134)^2</f>
        <v>3777.592343893481</v>
      </c>
      <c r="G7">
        <f t="shared" si="0"/>
        <v>3285.8953741965111</v>
      </c>
      <c r="H7" s="15">
        <f t="shared" si="1"/>
        <v>178</v>
      </c>
      <c r="I7">
        <f t="shared" si="2"/>
        <v>-9598.5606060606078</v>
      </c>
      <c r="J7" s="15">
        <f t="shared" si="3"/>
        <v>175</v>
      </c>
      <c r="K7">
        <f t="shared" si="4"/>
        <v>3347.3574954086325</v>
      </c>
      <c r="L7" s="15">
        <f t="shared" si="5"/>
        <v>177</v>
      </c>
      <c r="M7">
        <f t="shared" si="6"/>
        <v>7711.1681014692385</v>
      </c>
      <c r="N7" s="15">
        <f t="shared" si="7"/>
        <v>106</v>
      </c>
      <c r="O7">
        <f t="shared" ref="O7:O38" si="8">(C7-$C$134)*(P7-$C$134)</f>
        <v>-94.521292470155743</v>
      </c>
      <c r="P7" s="15">
        <f t="shared" ref="P7:P38" si="9">N6</f>
        <v>233</v>
      </c>
      <c r="R7" s="15"/>
      <c r="T7" s="15"/>
      <c r="V7" s="15"/>
      <c r="X7" s="15"/>
      <c r="Z7" s="15"/>
      <c r="AB7" s="15"/>
      <c r="AD7" s="15"/>
    </row>
    <row r="8" spans="1:36" x14ac:dyDescent="0.25">
      <c r="A8" s="15"/>
      <c r="B8" s="15">
        <v>7</v>
      </c>
      <c r="C8" s="15">
        <v>199</v>
      </c>
      <c r="D8" s="15">
        <v>231.46212121212122</v>
      </c>
      <c r="E8" s="15">
        <v>150.91666666666666</v>
      </c>
      <c r="F8" s="15">
        <f>(C8-C134)^2</f>
        <v>1053.7893135904503</v>
      </c>
      <c r="G8">
        <f t="shared" si="0"/>
        <v>1995.1908287419656</v>
      </c>
      <c r="H8" s="15">
        <f t="shared" si="1"/>
        <v>170</v>
      </c>
      <c r="I8">
        <f t="shared" si="2"/>
        <v>-10638.962121212122</v>
      </c>
      <c r="J8" s="15">
        <f t="shared" si="3"/>
        <v>178</v>
      </c>
      <c r="K8">
        <f t="shared" si="4"/>
        <v>1832.8802226813596</v>
      </c>
      <c r="L8" s="15">
        <f t="shared" si="5"/>
        <v>175</v>
      </c>
      <c r="M8">
        <f t="shared" si="6"/>
        <v>1767.9559802571171</v>
      </c>
      <c r="N8" s="15">
        <f t="shared" si="7"/>
        <v>177</v>
      </c>
      <c r="O8">
        <f t="shared" si="8"/>
        <v>4072.7665863177235</v>
      </c>
      <c r="P8" s="15">
        <f t="shared" si="9"/>
        <v>106</v>
      </c>
      <c r="Q8">
        <f t="shared" ref="Q8:Q39" si="10">(C8-$C$134)*(R8-$C$134)</f>
        <v>-49.922807621671069</v>
      </c>
      <c r="R8" s="15">
        <f t="shared" ref="R8:R39" si="11">P7</f>
        <v>233</v>
      </c>
      <c r="T8" s="15"/>
      <c r="V8" s="15"/>
      <c r="X8" s="15"/>
      <c r="Z8" s="15"/>
      <c r="AB8" s="15"/>
      <c r="AD8" s="15"/>
    </row>
    <row r="9" spans="1:36" x14ac:dyDescent="0.25">
      <c r="A9" s="15"/>
      <c r="B9" s="15">
        <v>8</v>
      </c>
      <c r="C9" s="15">
        <v>117</v>
      </c>
      <c r="D9" s="15">
        <v>231.46212121212122</v>
      </c>
      <c r="E9" s="15">
        <v>150.91666666666666</v>
      </c>
      <c r="F9" s="15">
        <f>(C9-C134)^2</f>
        <v>13101.57719237833</v>
      </c>
      <c r="G9">
        <f t="shared" si="0"/>
        <v>3715.68325298439</v>
      </c>
      <c r="H9" s="15">
        <f t="shared" si="1"/>
        <v>199</v>
      </c>
      <c r="I9">
        <f t="shared" si="2"/>
        <v>-7191.0681818181829</v>
      </c>
      <c r="J9" s="15">
        <f t="shared" si="3"/>
        <v>170</v>
      </c>
      <c r="K9">
        <f t="shared" si="4"/>
        <v>6119.3877984389355</v>
      </c>
      <c r="L9" s="15">
        <f t="shared" si="5"/>
        <v>178</v>
      </c>
      <c r="M9">
        <f t="shared" si="6"/>
        <v>6462.7741620752995</v>
      </c>
      <c r="N9" s="15">
        <f t="shared" si="7"/>
        <v>175</v>
      </c>
      <c r="O9">
        <f t="shared" si="8"/>
        <v>6233.8499196510575</v>
      </c>
      <c r="P9" s="15">
        <f t="shared" si="9"/>
        <v>177</v>
      </c>
      <c r="Q9">
        <f t="shared" si="10"/>
        <v>14360.660525711664</v>
      </c>
      <c r="R9" s="15">
        <f t="shared" si="11"/>
        <v>106</v>
      </c>
      <c r="S9">
        <f t="shared" ref="S9:S40" si="12">(C9-$C$134)*(T9-$C$134)</f>
        <v>-176.02886822773118</v>
      </c>
      <c r="T9" s="15">
        <f t="shared" ref="T9:T40" si="13">R8</f>
        <v>233</v>
      </c>
      <c r="V9" s="15"/>
      <c r="X9" s="15"/>
      <c r="Z9" s="15"/>
      <c r="AB9" s="15"/>
      <c r="AD9" s="15"/>
    </row>
    <row r="10" spans="1:36" x14ac:dyDescent="0.25">
      <c r="A10" s="15"/>
      <c r="B10" s="15">
        <v>9</v>
      </c>
      <c r="C10" s="15">
        <v>122</v>
      </c>
      <c r="D10" s="15">
        <v>231.46212121212122</v>
      </c>
      <c r="E10" s="15">
        <v>150.91666666666666</v>
      </c>
      <c r="F10" s="15">
        <f>(C10-C134)^2</f>
        <v>11981.955980257118</v>
      </c>
      <c r="G10">
        <f t="shared" si="0"/>
        <v>12529.266586317724</v>
      </c>
      <c r="H10" s="15">
        <f t="shared" si="1"/>
        <v>117</v>
      </c>
      <c r="I10">
        <f t="shared" si="2"/>
        <v>-3960.3787878787884</v>
      </c>
      <c r="J10" s="15">
        <f t="shared" si="3"/>
        <v>199</v>
      </c>
      <c r="K10">
        <f t="shared" si="4"/>
        <v>6727.7741620752995</v>
      </c>
      <c r="L10" s="15">
        <f t="shared" si="5"/>
        <v>170</v>
      </c>
      <c r="M10">
        <f t="shared" si="6"/>
        <v>5852.0771923783295</v>
      </c>
      <c r="N10" s="15">
        <f t="shared" si="7"/>
        <v>178</v>
      </c>
      <c r="O10">
        <f t="shared" si="8"/>
        <v>6180.4635560146935</v>
      </c>
      <c r="P10" s="15">
        <f t="shared" si="9"/>
        <v>175</v>
      </c>
      <c r="Q10">
        <f t="shared" si="10"/>
        <v>5961.5393135904505</v>
      </c>
      <c r="R10" s="15">
        <f t="shared" si="11"/>
        <v>177</v>
      </c>
      <c r="S10">
        <f t="shared" si="12"/>
        <v>13733.349919651057</v>
      </c>
      <c r="T10" s="15">
        <f t="shared" si="13"/>
        <v>106</v>
      </c>
      <c r="U10">
        <f t="shared" ref="U10:U41" si="14">(C10-$C$134)*(V10-$C$134)</f>
        <v>-168.33947428833727</v>
      </c>
      <c r="V10" s="15">
        <f t="shared" ref="V10:V41" si="15">T9</f>
        <v>233</v>
      </c>
      <c r="X10" s="15"/>
      <c r="Z10" s="15"/>
      <c r="AB10" s="15"/>
      <c r="AD10" s="15"/>
    </row>
    <row r="11" spans="1:36" x14ac:dyDescent="0.25">
      <c r="A11" s="15"/>
      <c r="B11" s="15">
        <v>10</v>
      </c>
      <c r="C11" s="15">
        <v>136</v>
      </c>
      <c r="D11" s="15">
        <v>231.46212121212122</v>
      </c>
      <c r="E11" s="15">
        <v>150.91666666666666</v>
      </c>
      <c r="F11" s="15">
        <f>(C11-C134)^2</f>
        <v>9113.0165863177244</v>
      </c>
      <c r="G11">
        <f t="shared" si="0"/>
        <v>10449.486283287421</v>
      </c>
      <c r="H11" s="15">
        <f t="shared" si="1"/>
        <v>122</v>
      </c>
      <c r="I11">
        <f t="shared" si="2"/>
        <v>-15566.848484848486</v>
      </c>
      <c r="J11" s="15">
        <f t="shared" si="3"/>
        <v>117</v>
      </c>
      <c r="K11">
        <f t="shared" si="4"/>
        <v>3098.902949954087</v>
      </c>
      <c r="L11" s="15">
        <f t="shared" si="5"/>
        <v>199</v>
      </c>
      <c r="M11">
        <f t="shared" si="6"/>
        <v>5867.3044651056025</v>
      </c>
      <c r="N11" s="15">
        <f t="shared" si="7"/>
        <v>170</v>
      </c>
      <c r="O11">
        <f t="shared" si="8"/>
        <v>5103.6074954086325</v>
      </c>
      <c r="P11" s="15">
        <f t="shared" si="9"/>
        <v>178</v>
      </c>
      <c r="Q11">
        <f t="shared" si="10"/>
        <v>5389.9938590449965</v>
      </c>
      <c r="R11" s="15">
        <f t="shared" si="11"/>
        <v>175</v>
      </c>
      <c r="S11">
        <f t="shared" si="12"/>
        <v>5199.0696166207535</v>
      </c>
      <c r="T11" s="15">
        <f t="shared" si="13"/>
        <v>177</v>
      </c>
      <c r="U11">
        <f t="shared" si="14"/>
        <v>11976.88022268136</v>
      </c>
      <c r="V11" s="15">
        <f t="shared" si="15"/>
        <v>106</v>
      </c>
      <c r="W11">
        <f t="shared" ref="W11:W42" si="16">(C11-$C$134)*(X11-$C$134)</f>
        <v>-146.80917125803433</v>
      </c>
      <c r="X11" s="15">
        <f t="shared" ref="X11:X42" si="17">V10</f>
        <v>233</v>
      </c>
      <c r="Z11" s="15"/>
      <c r="AB11" s="15"/>
      <c r="AD11" s="15"/>
    </row>
    <row r="12" spans="1:36" x14ac:dyDescent="0.25">
      <c r="A12" s="15"/>
      <c r="B12" s="15">
        <v>11</v>
      </c>
      <c r="C12" s="15">
        <v>130</v>
      </c>
      <c r="D12" s="15">
        <v>231.46212121212122</v>
      </c>
      <c r="E12" s="15">
        <v>150.91666666666666</v>
      </c>
      <c r="F12" s="15">
        <f>(C12-C134)^2</f>
        <v>10294.562040863178</v>
      </c>
      <c r="G12">
        <f t="shared" si="0"/>
        <v>9685.7893135904505</v>
      </c>
      <c r="H12" s="15">
        <f t="shared" si="1"/>
        <v>136</v>
      </c>
      <c r="I12">
        <f t="shared" si="2"/>
        <v>-14230.075757575758</v>
      </c>
      <c r="J12" s="15">
        <f t="shared" si="3"/>
        <v>122</v>
      </c>
      <c r="K12">
        <f t="shared" si="4"/>
        <v>11613.569616620754</v>
      </c>
      <c r="L12" s="15">
        <f t="shared" si="5"/>
        <v>117</v>
      </c>
      <c r="M12">
        <f t="shared" si="6"/>
        <v>3293.6756772268145</v>
      </c>
      <c r="N12" s="15">
        <f t="shared" si="7"/>
        <v>199</v>
      </c>
      <c r="O12">
        <f t="shared" si="8"/>
        <v>6236.0771923783295</v>
      </c>
      <c r="P12" s="15">
        <f t="shared" si="9"/>
        <v>170</v>
      </c>
      <c r="Q12">
        <f t="shared" si="10"/>
        <v>5424.3802226813596</v>
      </c>
      <c r="R12" s="15">
        <f t="shared" si="11"/>
        <v>178</v>
      </c>
      <c r="S12">
        <f t="shared" si="12"/>
        <v>5728.7665863177235</v>
      </c>
      <c r="T12" s="15">
        <f t="shared" si="13"/>
        <v>175</v>
      </c>
      <c r="U12">
        <f t="shared" si="14"/>
        <v>5525.8423438934815</v>
      </c>
      <c r="V12" s="15">
        <f t="shared" si="15"/>
        <v>177</v>
      </c>
      <c r="W12">
        <f t="shared" si="16"/>
        <v>12729.652949954088</v>
      </c>
      <c r="X12" s="15">
        <f t="shared" si="17"/>
        <v>106</v>
      </c>
      <c r="Y12">
        <f t="shared" ref="Y12:Y43" si="18">(C12-$C$134)*(Z12-$C$134)</f>
        <v>-156.03644398530702</v>
      </c>
      <c r="Z12" s="15">
        <f t="shared" ref="Z12:Z43" si="19">X11</f>
        <v>233</v>
      </c>
      <c r="AB12" s="15"/>
      <c r="AD12" s="15"/>
    </row>
    <row r="13" spans="1:36" x14ac:dyDescent="0.25">
      <c r="A13" s="15">
        <v>2012</v>
      </c>
      <c r="B13" s="15">
        <v>12</v>
      </c>
      <c r="C13" s="15">
        <v>68</v>
      </c>
      <c r="D13" s="15">
        <v>231.46212121212122</v>
      </c>
      <c r="E13" s="15">
        <f>SUM(C2:C13)/COUNT(C2:C13)</f>
        <v>150.91666666666666</v>
      </c>
      <c r="F13" s="15">
        <f>(C13-C134)^2</f>
        <v>26719.865071166209</v>
      </c>
      <c r="G13">
        <f t="shared" si="0"/>
        <v>16585.213556014693</v>
      </c>
      <c r="H13" s="15">
        <f t="shared" si="1"/>
        <v>130</v>
      </c>
      <c r="I13">
        <f t="shared" si="2"/>
        <v>-6491.4242424242429</v>
      </c>
      <c r="J13" s="15">
        <f t="shared" si="3"/>
        <v>136</v>
      </c>
      <c r="K13">
        <f t="shared" si="4"/>
        <v>17892.910525711664</v>
      </c>
      <c r="L13" s="15">
        <f t="shared" si="5"/>
        <v>122</v>
      </c>
      <c r="M13">
        <f t="shared" si="6"/>
        <v>18710.221131772269</v>
      </c>
      <c r="N13" s="15">
        <f t="shared" si="7"/>
        <v>117</v>
      </c>
      <c r="O13">
        <f t="shared" si="8"/>
        <v>5306.3271923783295</v>
      </c>
      <c r="P13" s="15">
        <f t="shared" si="9"/>
        <v>199</v>
      </c>
      <c r="Q13">
        <f t="shared" si="10"/>
        <v>10046.728707529845</v>
      </c>
      <c r="R13" s="15">
        <f t="shared" si="11"/>
        <v>170</v>
      </c>
      <c r="S13">
        <f t="shared" si="12"/>
        <v>8739.0317378328764</v>
      </c>
      <c r="T13" s="15">
        <f t="shared" si="13"/>
        <v>178</v>
      </c>
      <c r="U13">
        <f t="shared" si="14"/>
        <v>9229.4181014692385</v>
      </c>
      <c r="V13" s="15">
        <f t="shared" si="15"/>
        <v>175</v>
      </c>
      <c r="W13">
        <f t="shared" si="16"/>
        <v>8902.4938590449965</v>
      </c>
      <c r="X13" s="15">
        <f t="shared" si="17"/>
        <v>177</v>
      </c>
      <c r="Y13">
        <f t="shared" si="18"/>
        <v>20508.304465105604</v>
      </c>
      <c r="Z13" s="15">
        <f t="shared" si="19"/>
        <v>106</v>
      </c>
      <c r="AA13">
        <f t="shared" ref="AA13:AA44" si="20">(C13-$C$134)*(AB13-$C$134)</f>
        <v>-251.38492883379149</v>
      </c>
      <c r="AB13" s="15">
        <f t="shared" ref="AB13:AB44" si="21">Z12</f>
        <v>233</v>
      </c>
      <c r="AD13" s="15"/>
    </row>
    <row r="14" spans="1:36" x14ac:dyDescent="0.25">
      <c r="A14" s="15"/>
      <c r="B14" s="15">
        <v>1</v>
      </c>
      <c r="C14" s="15">
        <v>179</v>
      </c>
      <c r="D14" s="15">
        <v>231.46212121212122</v>
      </c>
      <c r="E14" s="15">
        <v>155.33333333333334</v>
      </c>
      <c r="F14" s="15">
        <f>(C14-C134)^2</f>
        <v>2752.274162075299</v>
      </c>
      <c r="G14">
        <f t="shared" si="0"/>
        <v>8575.5696166207545</v>
      </c>
      <c r="H14" s="15">
        <f t="shared" si="1"/>
        <v>68</v>
      </c>
      <c r="I14">
        <f t="shared" si="2"/>
        <v>-18161.7196969697</v>
      </c>
      <c r="J14" s="15">
        <f t="shared" si="3"/>
        <v>130</v>
      </c>
      <c r="K14">
        <f t="shared" si="4"/>
        <v>5008.1453741965115</v>
      </c>
      <c r="L14" s="15">
        <f t="shared" si="5"/>
        <v>136</v>
      </c>
      <c r="M14">
        <f t="shared" si="6"/>
        <v>5742.6150711662085</v>
      </c>
      <c r="N14" s="15">
        <f t="shared" si="7"/>
        <v>122</v>
      </c>
      <c r="O14">
        <f t="shared" si="8"/>
        <v>6004.9256772268145</v>
      </c>
      <c r="P14" s="15">
        <f t="shared" si="9"/>
        <v>117</v>
      </c>
      <c r="Q14">
        <f t="shared" si="10"/>
        <v>1703.0317378328748</v>
      </c>
      <c r="R14" s="15">
        <f t="shared" si="11"/>
        <v>199</v>
      </c>
      <c r="S14">
        <f t="shared" si="12"/>
        <v>3224.43325298439</v>
      </c>
      <c r="T14" s="15">
        <f t="shared" si="13"/>
        <v>170</v>
      </c>
      <c r="U14">
        <f t="shared" si="14"/>
        <v>2804.7362832874201</v>
      </c>
      <c r="V14" s="15">
        <f t="shared" si="15"/>
        <v>178</v>
      </c>
      <c r="W14">
        <f t="shared" si="16"/>
        <v>2962.122646923784</v>
      </c>
      <c r="X14" s="15">
        <f t="shared" si="17"/>
        <v>175</v>
      </c>
      <c r="Y14">
        <f t="shared" si="18"/>
        <v>2857.1984044995415</v>
      </c>
      <c r="Z14" s="15">
        <f t="shared" si="19"/>
        <v>177</v>
      </c>
      <c r="AA14">
        <f t="shared" si="20"/>
        <v>6582.0090105601475</v>
      </c>
      <c r="AB14" s="15">
        <f t="shared" si="21"/>
        <v>106</v>
      </c>
      <c r="AC14">
        <f t="shared" ref="AC14:AC45" si="22">(C14-$C$134)*(AD14-$C$134)</f>
        <v>-80.680383379246706</v>
      </c>
      <c r="AD14" s="15">
        <f t="shared" ref="AD14:AD45" si="23">AB13</f>
        <v>233</v>
      </c>
    </row>
    <row r="15" spans="1:36" x14ac:dyDescent="0.25">
      <c r="A15" s="15"/>
      <c r="B15" s="15">
        <v>2</v>
      </c>
      <c r="C15" s="15">
        <v>104</v>
      </c>
      <c r="D15" s="15">
        <v>231.46212121212122</v>
      </c>
      <c r="E15" s="15">
        <v>155.33333333333334</v>
      </c>
      <c r="F15" s="15">
        <f>(C15-C134)^2</f>
        <v>16246.592343893482</v>
      </c>
      <c r="G15">
        <f t="shared" si="0"/>
        <v>6686.9332529843905</v>
      </c>
      <c r="H15" s="15">
        <f t="shared" si="1"/>
        <v>179</v>
      </c>
      <c r="I15">
        <f t="shared" si="2"/>
        <v>-17000.060606060608</v>
      </c>
      <c r="J15" s="15">
        <f t="shared" si="3"/>
        <v>68</v>
      </c>
      <c r="K15">
        <f t="shared" si="4"/>
        <v>12932.57719237833</v>
      </c>
      <c r="L15" s="15">
        <f t="shared" si="5"/>
        <v>130</v>
      </c>
      <c r="M15">
        <f t="shared" si="6"/>
        <v>12167.804465105603</v>
      </c>
      <c r="N15" s="15">
        <f t="shared" si="7"/>
        <v>136</v>
      </c>
      <c r="O15">
        <f t="shared" si="8"/>
        <v>13952.2741620753</v>
      </c>
      <c r="P15" s="15">
        <f t="shared" si="9"/>
        <v>122</v>
      </c>
      <c r="Q15">
        <f t="shared" si="10"/>
        <v>14589.584768135906</v>
      </c>
      <c r="R15" s="15">
        <f t="shared" si="11"/>
        <v>117</v>
      </c>
      <c r="S15">
        <f t="shared" si="12"/>
        <v>4137.6908287419665</v>
      </c>
      <c r="T15" s="15">
        <f t="shared" si="13"/>
        <v>199</v>
      </c>
      <c r="U15">
        <f t="shared" si="14"/>
        <v>7834.0923438934815</v>
      </c>
      <c r="V15" s="15">
        <f t="shared" si="15"/>
        <v>170</v>
      </c>
      <c r="W15">
        <f t="shared" si="16"/>
        <v>6814.3953741965115</v>
      </c>
      <c r="X15" s="15">
        <f t="shared" si="17"/>
        <v>178</v>
      </c>
      <c r="Y15">
        <f t="shared" si="18"/>
        <v>7196.7817378328755</v>
      </c>
      <c r="Z15" s="15">
        <f t="shared" si="19"/>
        <v>175</v>
      </c>
      <c r="AA15">
        <f t="shared" si="20"/>
        <v>6941.8574954086325</v>
      </c>
      <c r="AB15" s="15">
        <f t="shared" si="21"/>
        <v>177</v>
      </c>
      <c r="AC15">
        <f t="shared" si="22"/>
        <v>15991.668101469239</v>
      </c>
      <c r="AD15" s="15">
        <f t="shared" si="23"/>
        <v>106</v>
      </c>
      <c r="AE15" s="27">
        <f t="shared" ref="AE15:AE46" si="24">(C15-$C$134)*(AF15-$C$134)</f>
        <v>-196.02129247015534</v>
      </c>
      <c r="AF15" s="15">
        <f t="shared" ref="AF15:AF46" si="25">AD14</f>
        <v>233</v>
      </c>
      <c r="AH15" s="15"/>
      <c r="AJ15" s="15"/>
    </row>
    <row r="16" spans="1:36" x14ac:dyDescent="0.25">
      <c r="A16" s="15"/>
      <c r="B16" s="15">
        <v>3</v>
      </c>
      <c r="C16" s="15">
        <v>133</v>
      </c>
      <c r="D16" s="15">
        <v>231.46212121212122</v>
      </c>
      <c r="E16" s="15">
        <v>155.33333333333334</v>
      </c>
      <c r="F16" s="15">
        <f>(C16-C134)^2</f>
        <v>9694.7893135904505</v>
      </c>
      <c r="G16">
        <f t="shared" si="0"/>
        <v>12550.190828741966</v>
      </c>
      <c r="H16" s="15">
        <f t="shared" si="1"/>
        <v>104</v>
      </c>
      <c r="I16">
        <f t="shared" si="2"/>
        <v>-6977.4621212121219</v>
      </c>
      <c r="J16" s="15">
        <f t="shared" si="3"/>
        <v>179</v>
      </c>
      <c r="K16">
        <f t="shared" si="4"/>
        <v>16094.82719237833</v>
      </c>
      <c r="L16" s="15">
        <f t="shared" si="5"/>
        <v>68</v>
      </c>
      <c r="M16">
        <f t="shared" si="6"/>
        <v>9990.1756772268145</v>
      </c>
      <c r="N16" s="15">
        <f t="shared" si="7"/>
        <v>130</v>
      </c>
      <c r="O16">
        <f t="shared" si="8"/>
        <v>9399.4029499540866</v>
      </c>
      <c r="P16" s="15">
        <f t="shared" si="9"/>
        <v>136</v>
      </c>
      <c r="Q16">
        <f t="shared" si="10"/>
        <v>10777.872646923784</v>
      </c>
      <c r="R16" s="15">
        <f t="shared" si="11"/>
        <v>122</v>
      </c>
      <c r="S16">
        <f t="shared" si="12"/>
        <v>11270.18325298439</v>
      </c>
      <c r="T16" s="15">
        <f t="shared" si="13"/>
        <v>117</v>
      </c>
      <c r="U16">
        <f t="shared" si="14"/>
        <v>3196.2893135904505</v>
      </c>
      <c r="V16" s="15">
        <f t="shared" si="15"/>
        <v>199</v>
      </c>
      <c r="W16">
        <f t="shared" si="16"/>
        <v>6051.6908287419665</v>
      </c>
      <c r="X16" s="15">
        <f t="shared" si="17"/>
        <v>170</v>
      </c>
      <c r="Y16">
        <f t="shared" si="18"/>
        <v>5263.9938590449965</v>
      </c>
      <c r="Z16" s="15">
        <f t="shared" si="19"/>
        <v>178</v>
      </c>
      <c r="AA16">
        <f t="shared" si="20"/>
        <v>5559.3802226813596</v>
      </c>
      <c r="AB16" s="15">
        <f t="shared" si="21"/>
        <v>175</v>
      </c>
      <c r="AC16">
        <f t="shared" si="22"/>
        <v>5362.4559802571175</v>
      </c>
      <c r="AD16" s="15">
        <f t="shared" si="23"/>
        <v>177</v>
      </c>
      <c r="AE16" s="27">
        <f t="shared" si="24"/>
        <v>12353.266586317724</v>
      </c>
      <c r="AF16" s="15">
        <f t="shared" si="25"/>
        <v>106</v>
      </c>
      <c r="AG16">
        <f t="shared" ref="AG16:AG47" si="26">(C16-$C$134)*(AH16-$C$134)</f>
        <v>-151.42280762167067</v>
      </c>
      <c r="AH16" s="15">
        <v>233</v>
      </c>
      <c r="AJ16" s="15"/>
    </row>
    <row r="17" spans="1:36" x14ac:dyDescent="0.25">
      <c r="A17" s="15"/>
      <c r="B17" s="15">
        <v>4</v>
      </c>
      <c r="C17" s="15">
        <v>163</v>
      </c>
      <c r="D17" s="15">
        <v>231.46212121212122</v>
      </c>
      <c r="E17" s="15">
        <v>155.33333333333334</v>
      </c>
      <c r="F17" s="15">
        <f>(C17-C134)^2</f>
        <v>4687.0620408631785</v>
      </c>
      <c r="G17">
        <f t="shared" si="0"/>
        <v>6740.9256772268145</v>
      </c>
      <c r="H17" s="15">
        <f t="shared" si="1"/>
        <v>133</v>
      </c>
      <c r="I17">
        <f t="shared" si="2"/>
        <v>-20776.32575757576</v>
      </c>
      <c r="J17" s="15">
        <f t="shared" si="3"/>
        <v>104</v>
      </c>
      <c r="K17">
        <f t="shared" si="4"/>
        <v>3591.6681014692385</v>
      </c>
      <c r="L17" s="15">
        <f t="shared" si="5"/>
        <v>179</v>
      </c>
      <c r="M17">
        <f t="shared" si="6"/>
        <v>11190.963556014694</v>
      </c>
      <c r="N17" s="15">
        <f t="shared" si="7"/>
        <v>68</v>
      </c>
      <c r="O17">
        <f t="shared" si="8"/>
        <v>6946.3120408631785</v>
      </c>
      <c r="P17" s="15">
        <f t="shared" si="9"/>
        <v>130</v>
      </c>
      <c r="Q17">
        <f t="shared" si="10"/>
        <v>6535.5393135904505</v>
      </c>
      <c r="R17" s="15">
        <f t="shared" si="11"/>
        <v>136</v>
      </c>
      <c r="S17">
        <f t="shared" si="12"/>
        <v>7494.0090105601475</v>
      </c>
      <c r="T17" s="15">
        <f t="shared" si="13"/>
        <v>122</v>
      </c>
      <c r="U17">
        <f t="shared" si="14"/>
        <v>7836.3196166207545</v>
      </c>
      <c r="V17" s="15">
        <f t="shared" si="15"/>
        <v>117</v>
      </c>
      <c r="W17">
        <f t="shared" si="16"/>
        <v>2222.4256772268141</v>
      </c>
      <c r="X17" s="15">
        <f t="shared" si="17"/>
        <v>199</v>
      </c>
      <c r="Y17">
        <f t="shared" si="18"/>
        <v>4207.8271923783295</v>
      </c>
      <c r="Z17" s="15">
        <f t="shared" si="19"/>
        <v>170</v>
      </c>
      <c r="AA17">
        <f t="shared" si="20"/>
        <v>3660.1302226813596</v>
      </c>
      <c r="AB17" s="15">
        <f t="shared" si="21"/>
        <v>178</v>
      </c>
      <c r="AC17">
        <f t="shared" si="22"/>
        <v>3865.5165863177235</v>
      </c>
      <c r="AD17" s="15">
        <f t="shared" si="23"/>
        <v>175</v>
      </c>
      <c r="AE17" s="27">
        <f t="shared" si="24"/>
        <v>3728.592343893481</v>
      </c>
      <c r="AF17" s="15">
        <f t="shared" si="25"/>
        <v>177</v>
      </c>
      <c r="AG17">
        <f t="shared" si="26"/>
        <v>8589.4029499540866</v>
      </c>
      <c r="AH17" s="15">
        <f t="shared" ref="AH17:AH47" si="27">AF16</f>
        <v>106</v>
      </c>
      <c r="AI17">
        <f t="shared" ref="AI17:AI48" si="28">(C17-$C$134)*(AJ17-$C$134)</f>
        <v>-105.28644398530722</v>
      </c>
      <c r="AJ17" s="15">
        <f t="shared" ref="AJ17:AJ48" si="29">AH16</f>
        <v>233</v>
      </c>
    </row>
    <row r="18" spans="1:36" x14ac:dyDescent="0.25">
      <c r="A18" s="15"/>
      <c r="B18" s="15">
        <v>5</v>
      </c>
      <c r="C18" s="15">
        <v>175</v>
      </c>
      <c r="D18" s="15">
        <v>231.46212121212122</v>
      </c>
      <c r="E18" s="15">
        <v>155.33333333333334</v>
      </c>
      <c r="F18" s="15">
        <f>(C18-C134)^2</f>
        <v>3187.971131772269</v>
      </c>
      <c r="G18">
        <f t="shared" si="0"/>
        <v>3865.5165863177235</v>
      </c>
      <c r="H18" s="15">
        <f t="shared" si="1"/>
        <v>163</v>
      </c>
      <c r="I18">
        <f t="shared" si="2"/>
        <v>-17230.871212121212</v>
      </c>
      <c r="J18" s="15">
        <f t="shared" si="3"/>
        <v>133</v>
      </c>
      <c r="K18">
        <f t="shared" si="4"/>
        <v>7196.7817378328755</v>
      </c>
      <c r="L18" s="15">
        <f t="shared" si="5"/>
        <v>104</v>
      </c>
      <c r="M18">
        <f t="shared" si="6"/>
        <v>2962.122646923784</v>
      </c>
      <c r="N18" s="15">
        <f t="shared" si="7"/>
        <v>179</v>
      </c>
      <c r="O18">
        <f t="shared" si="8"/>
        <v>9229.4181014692385</v>
      </c>
      <c r="P18" s="15">
        <f t="shared" si="9"/>
        <v>68</v>
      </c>
      <c r="Q18">
        <f t="shared" si="10"/>
        <v>5728.7665863177235</v>
      </c>
      <c r="R18" s="15">
        <f t="shared" si="11"/>
        <v>130</v>
      </c>
      <c r="S18">
        <f t="shared" si="12"/>
        <v>5389.9938590449965</v>
      </c>
      <c r="T18" s="15">
        <f t="shared" si="13"/>
        <v>136</v>
      </c>
      <c r="U18">
        <f t="shared" si="14"/>
        <v>6180.4635560146935</v>
      </c>
      <c r="V18" s="15">
        <f t="shared" si="15"/>
        <v>122</v>
      </c>
      <c r="W18">
        <f t="shared" si="16"/>
        <v>6462.7741620752995</v>
      </c>
      <c r="X18" s="15">
        <f t="shared" si="17"/>
        <v>117</v>
      </c>
      <c r="Y18">
        <f t="shared" si="18"/>
        <v>1832.8802226813596</v>
      </c>
      <c r="Z18" s="15">
        <f t="shared" si="19"/>
        <v>199</v>
      </c>
      <c r="AA18">
        <f t="shared" si="20"/>
        <v>3470.281737832875</v>
      </c>
      <c r="AB18" s="15">
        <f t="shared" si="21"/>
        <v>170</v>
      </c>
      <c r="AC18">
        <f t="shared" si="22"/>
        <v>3018.5847681359051</v>
      </c>
      <c r="AD18" s="15">
        <f t="shared" si="23"/>
        <v>178</v>
      </c>
      <c r="AE18" s="27">
        <f t="shared" si="24"/>
        <v>3187.971131772269</v>
      </c>
      <c r="AF18" s="15">
        <f t="shared" si="25"/>
        <v>175</v>
      </c>
      <c r="AG18">
        <f t="shared" si="26"/>
        <v>3075.0468893480265</v>
      </c>
      <c r="AH18" s="15">
        <f t="shared" si="27"/>
        <v>177</v>
      </c>
      <c r="AI18">
        <f t="shared" si="28"/>
        <v>7083.8574954086325</v>
      </c>
      <c r="AJ18" s="15">
        <f t="shared" si="29"/>
        <v>106</v>
      </c>
    </row>
    <row r="19" spans="1:36" x14ac:dyDescent="0.25">
      <c r="A19" s="15"/>
      <c r="B19" s="15">
        <v>6</v>
      </c>
      <c r="C19" s="15">
        <v>163</v>
      </c>
      <c r="D19" s="15">
        <v>231.46212121212122</v>
      </c>
      <c r="E19" s="15">
        <v>155.33333333333334</v>
      </c>
      <c r="F19" s="15">
        <f>(C19-C134)^2</f>
        <v>4687.0620408631785</v>
      </c>
      <c r="G19">
        <f t="shared" si="0"/>
        <v>3865.5165863177235</v>
      </c>
      <c r="H19" s="15">
        <f t="shared" si="1"/>
        <v>175</v>
      </c>
      <c r="I19">
        <f t="shared" ref="I19:I50" si="30">(C19-$C150)*(J19-$C$134)</f>
        <v>-11159.325757575758</v>
      </c>
      <c r="J19" s="15">
        <f t="shared" si="3"/>
        <v>163</v>
      </c>
      <c r="K19">
        <f t="shared" si="4"/>
        <v>6740.9256772268145</v>
      </c>
      <c r="L19" s="15">
        <f t="shared" si="5"/>
        <v>133</v>
      </c>
      <c r="M19">
        <f t="shared" si="6"/>
        <v>8726.3271923783304</v>
      </c>
      <c r="N19" s="15">
        <f t="shared" si="7"/>
        <v>104</v>
      </c>
      <c r="O19">
        <f t="shared" si="8"/>
        <v>3591.6681014692385</v>
      </c>
      <c r="P19" s="15">
        <f t="shared" si="9"/>
        <v>179</v>
      </c>
      <c r="Q19">
        <f t="shared" si="10"/>
        <v>11190.963556014694</v>
      </c>
      <c r="R19" s="15">
        <f t="shared" si="11"/>
        <v>68</v>
      </c>
      <c r="S19">
        <f t="shared" si="12"/>
        <v>6946.3120408631785</v>
      </c>
      <c r="T19" s="15">
        <f t="shared" si="13"/>
        <v>130</v>
      </c>
      <c r="U19">
        <f t="shared" si="14"/>
        <v>6535.5393135904505</v>
      </c>
      <c r="V19" s="15">
        <f t="shared" si="15"/>
        <v>136</v>
      </c>
      <c r="W19">
        <f t="shared" si="16"/>
        <v>7494.0090105601475</v>
      </c>
      <c r="X19" s="15">
        <f t="shared" si="17"/>
        <v>122</v>
      </c>
      <c r="Y19">
        <f t="shared" si="18"/>
        <v>7836.3196166207545</v>
      </c>
      <c r="Z19" s="15">
        <f t="shared" si="19"/>
        <v>117</v>
      </c>
      <c r="AA19">
        <f t="shared" si="20"/>
        <v>2222.4256772268141</v>
      </c>
      <c r="AB19" s="15">
        <f t="shared" si="21"/>
        <v>199</v>
      </c>
      <c r="AC19">
        <f t="shared" si="22"/>
        <v>4207.8271923783295</v>
      </c>
      <c r="AD19" s="15">
        <f t="shared" si="23"/>
        <v>170</v>
      </c>
      <c r="AE19" s="27">
        <f t="shared" si="24"/>
        <v>3660.1302226813596</v>
      </c>
      <c r="AF19" s="15">
        <f t="shared" si="25"/>
        <v>178</v>
      </c>
      <c r="AG19">
        <f t="shared" si="26"/>
        <v>3865.5165863177235</v>
      </c>
      <c r="AH19" s="15">
        <f t="shared" si="27"/>
        <v>175</v>
      </c>
      <c r="AI19">
        <f t="shared" si="28"/>
        <v>3728.592343893481</v>
      </c>
      <c r="AJ19" s="15">
        <f t="shared" si="29"/>
        <v>177</v>
      </c>
    </row>
    <row r="20" spans="1:36" x14ac:dyDescent="0.25">
      <c r="A20" s="15"/>
      <c r="B20" s="15">
        <v>7</v>
      </c>
      <c r="C20" s="15">
        <v>156</v>
      </c>
      <c r="D20" s="15">
        <v>231.46212121212122</v>
      </c>
      <c r="E20" s="15">
        <v>155.33333333333334</v>
      </c>
      <c r="F20" s="15">
        <f>(C20-C134)^2</f>
        <v>5694.5317378328755</v>
      </c>
      <c r="G20">
        <f t="shared" si="0"/>
        <v>5166.2968893480265</v>
      </c>
      <c r="H20" s="15">
        <f t="shared" si="1"/>
        <v>163</v>
      </c>
      <c r="I20">
        <f t="shared" si="30"/>
        <v>-8808.0909090909099</v>
      </c>
      <c r="J20" s="15">
        <f t="shared" si="3"/>
        <v>175</v>
      </c>
      <c r="K20">
        <f t="shared" si="4"/>
        <v>5166.2968893480265</v>
      </c>
      <c r="L20" s="15">
        <f t="shared" si="5"/>
        <v>163</v>
      </c>
      <c r="M20">
        <f t="shared" si="6"/>
        <v>7430.1605257116635</v>
      </c>
      <c r="N20" s="15">
        <f t="shared" si="7"/>
        <v>133</v>
      </c>
      <c r="O20">
        <f t="shared" si="8"/>
        <v>9618.5620408631785</v>
      </c>
      <c r="P20" s="15">
        <f t="shared" si="9"/>
        <v>104</v>
      </c>
      <c r="Q20">
        <f t="shared" si="10"/>
        <v>3958.902949954087</v>
      </c>
      <c r="R20" s="15">
        <f t="shared" si="11"/>
        <v>179</v>
      </c>
      <c r="S20">
        <f t="shared" si="12"/>
        <v>12335.198404499542</v>
      </c>
      <c r="T20" s="15">
        <f t="shared" si="13"/>
        <v>68</v>
      </c>
      <c r="U20">
        <f t="shared" si="14"/>
        <v>7656.5468893480265</v>
      </c>
      <c r="V20" s="15">
        <f t="shared" si="15"/>
        <v>130</v>
      </c>
      <c r="W20">
        <f t="shared" si="16"/>
        <v>7203.7741620752995</v>
      </c>
      <c r="X20" s="15">
        <f t="shared" si="17"/>
        <v>136</v>
      </c>
      <c r="Y20">
        <f t="shared" si="18"/>
        <v>8260.2438590449965</v>
      </c>
      <c r="Z20" s="15">
        <f t="shared" si="19"/>
        <v>122</v>
      </c>
      <c r="AA20">
        <f t="shared" si="20"/>
        <v>8637.5544651056025</v>
      </c>
      <c r="AB20" s="15">
        <f t="shared" si="21"/>
        <v>117</v>
      </c>
      <c r="AC20">
        <f t="shared" si="22"/>
        <v>2449.6605257116626</v>
      </c>
      <c r="AD20" s="15">
        <f t="shared" si="23"/>
        <v>199</v>
      </c>
      <c r="AE20" s="27">
        <f t="shared" si="24"/>
        <v>4638.0620408631785</v>
      </c>
      <c r="AF20" s="15">
        <f t="shared" si="25"/>
        <v>170</v>
      </c>
      <c r="AG20">
        <f t="shared" si="26"/>
        <v>4034.3650711662085</v>
      </c>
      <c r="AH20" s="15">
        <f t="shared" si="27"/>
        <v>178</v>
      </c>
      <c r="AI20">
        <f t="shared" si="28"/>
        <v>4260.7514348025716</v>
      </c>
      <c r="AJ20" s="15">
        <f t="shared" si="29"/>
        <v>175</v>
      </c>
    </row>
    <row r="21" spans="1:36" x14ac:dyDescent="0.25">
      <c r="A21" s="15"/>
      <c r="B21" s="15">
        <v>8</v>
      </c>
      <c r="C21" s="15">
        <v>123</v>
      </c>
      <c r="D21" s="15">
        <v>231.46212121212122</v>
      </c>
      <c r="E21" s="15">
        <v>155.33333333333334</v>
      </c>
      <c r="F21" s="15">
        <f>(C21-C134)^2</f>
        <v>11764.031737832876</v>
      </c>
      <c r="G21">
        <f t="shared" si="0"/>
        <v>8184.7817378328755</v>
      </c>
      <c r="H21" s="15">
        <f t="shared" si="1"/>
        <v>156</v>
      </c>
      <c r="I21">
        <f t="shared" si="30"/>
        <v>-8420.8409090909099</v>
      </c>
      <c r="J21" s="15">
        <f t="shared" si="3"/>
        <v>163</v>
      </c>
      <c r="K21">
        <f t="shared" si="4"/>
        <v>6124.0014348025725</v>
      </c>
      <c r="L21" s="15">
        <f t="shared" si="5"/>
        <v>175</v>
      </c>
      <c r="M21">
        <f t="shared" si="6"/>
        <v>7425.5468893480265</v>
      </c>
      <c r="N21" s="15">
        <f t="shared" si="7"/>
        <v>163</v>
      </c>
      <c r="O21">
        <f t="shared" si="8"/>
        <v>10679.410525711663</v>
      </c>
      <c r="P21" s="15">
        <f t="shared" si="9"/>
        <v>133</v>
      </c>
      <c r="Q21">
        <f t="shared" si="10"/>
        <v>13824.812040863178</v>
      </c>
      <c r="R21" s="15">
        <f t="shared" si="11"/>
        <v>104</v>
      </c>
      <c r="S21">
        <f t="shared" si="12"/>
        <v>5690.1529499540875</v>
      </c>
      <c r="T21" s="15">
        <f t="shared" si="13"/>
        <v>179</v>
      </c>
      <c r="U21">
        <f t="shared" si="14"/>
        <v>17729.448404499544</v>
      </c>
      <c r="V21" s="15">
        <f t="shared" si="15"/>
        <v>68</v>
      </c>
      <c r="W21">
        <f t="shared" si="16"/>
        <v>11004.796889348027</v>
      </c>
      <c r="X21" s="15">
        <f t="shared" si="17"/>
        <v>130</v>
      </c>
      <c r="Y21">
        <f t="shared" si="18"/>
        <v>10354.0241620753</v>
      </c>
      <c r="Z21" s="15">
        <f t="shared" si="19"/>
        <v>136</v>
      </c>
      <c r="AA21">
        <f t="shared" si="20"/>
        <v>11872.493859044996</v>
      </c>
      <c r="AB21" s="15">
        <f t="shared" si="21"/>
        <v>122</v>
      </c>
      <c r="AC21">
        <f t="shared" si="22"/>
        <v>12414.804465105603</v>
      </c>
      <c r="AD21" s="15">
        <f t="shared" si="23"/>
        <v>117</v>
      </c>
      <c r="AE21" s="27">
        <f t="shared" si="24"/>
        <v>3520.910525711663</v>
      </c>
      <c r="AF21" s="15">
        <f t="shared" si="25"/>
        <v>199</v>
      </c>
      <c r="AG21">
        <f t="shared" si="26"/>
        <v>6666.3120408631785</v>
      </c>
      <c r="AH21" s="15">
        <f t="shared" si="27"/>
        <v>170</v>
      </c>
      <c r="AI21">
        <f t="shared" si="28"/>
        <v>5798.6150711662085</v>
      </c>
      <c r="AJ21" s="15">
        <f t="shared" si="29"/>
        <v>178</v>
      </c>
    </row>
    <row r="22" spans="1:36" x14ac:dyDescent="0.25">
      <c r="A22" s="15"/>
      <c r="B22" s="15">
        <v>9</v>
      </c>
      <c r="C22" s="15">
        <v>145</v>
      </c>
      <c r="D22" s="15">
        <v>231.46212121212122</v>
      </c>
      <c r="E22" s="15">
        <v>155.33333333333334</v>
      </c>
      <c r="F22" s="15">
        <f>(C22-C134)^2</f>
        <v>7475.6984044995415</v>
      </c>
      <c r="G22">
        <f t="shared" si="0"/>
        <v>9377.8650711662085</v>
      </c>
      <c r="H22" s="15">
        <f t="shared" si="1"/>
        <v>123</v>
      </c>
      <c r="I22">
        <f t="shared" si="30"/>
        <v>-10942.007575757576</v>
      </c>
      <c r="J22" s="15">
        <f t="shared" si="3"/>
        <v>156</v>
      </c>
      <c r="K22">
        <f t="shared" si="4"/>
        <v>5919.3802226813596</v>
      </c>
      <c r="L22" s="15">
        <f t="shared" si="5"/>
        <v>163</v>
      </c>
      <c r="M22">
        <f t="shared" si="6"/>
        <v>4881.8347681359055</v>
      </c>
      <c r="N22" s="15">
        <f t="shared" si="7"/>
        <v>175</v>
      </c>
      <c r="O22">
        <f t="shared" si="8"/>
        <v>5919.3802226813596</v>
      </c>
      <c r="P22" s="15">
        <f t="shared" si="9"/>
        <v>163</v>
      </c>
      <c r="Q22">
        <f t="shared" si="10"/>
        <v>8513.2438590449965</v>
      </c>
      <c r="R22" s="15">
        <f t="shared" si="11"/>
        <v>133</v>
      </c>
      <c r="S22">
        <f t="shared" si="12"/>
        <v>11020.645374196512</v>
      </c>
      <c r="T22" s="15">
        <f t="shared" si="13"/>
        <v>104</v>
      </c>
      <c r="U22">
        <f t="shared" si="14"/>
        <v>4535.9862832874205</v>
      </c>
      <c r="V22" s="15">
        <f t="shared" si="15"/>
        <v>179</v>
      </c>
      <c r="W22">
        <f t="shared" si="16"/>
        <v>14133.281737832876</v>
      </c>
      <c r="X22" s="15">
        <f t="shared" si="17"/>
        <v>68</v>
      </c>
      <c r="Y22">
        <f t="shared" si="18"/>
        <v>8772.6302226813605</v>
      </c>
      <c r="Z22" s="15">
        <f t="shared" si="19"/>
        <v>130</v>
      </c>
      <c r="AA22">
        <f t="shared" si="20"/>
        <v>8253.8574954086325</v>
      </c>
      <c r="AB22" s="15">
        <f t="shared" si="21"/>
        <v>136</v>
      </c>
      <c r="AC22">
        <f t="shared" si="22"/>
        <v>9464.3271923783304</v>
      </c>
      <c r="AD22" s="15">
        <f t="shared" si="23"/>
        <v>122</v>
      </c>
      <c r="AE22" s="27">
        <f t="shared" si="24"/>
        <v>9896.6377984389364</v>
      </c>
      <c r="AF22" s="15">
        <f t="shared" si="25"/>
        <v>117</v>
      </c>
      <c r="AG22">
        <f t="shared" si="26"/>
        <v>2806.743859044996</v>
      </c>
      <c r="AH22" s="15">
        <f t="shared" si="27"/>
        <v>199</v>
      </c>
      <c r="AI22">
        <f t="shared" si="28"/>
        <v>5314.1453741965115</v>
      </c>
      <c r="AJ22" s="15">
        <f t="shared" si="29"/>
        <v>170</v>
      </c>
    </row>
    <row r="23" spans="1:36" x14ac:dyDescent="0.25">
      <c r="A23" s="15"/>
      <c r="B23" s="15">
        <v>10</v>
      </c>
      <c r="C23" s="15">
        <v>197</v>
      </c>
      <c r="D23" s="15">
        <v>231.46212121212122</v>
      </c>
      <c r="E23" s="15">
        <v>155.33333333333334</v>
      </c>
      <c r="F23" s="15">
        <f>(C23-C134)^2</f>
        <v>1187.6377984389353</v>
      </c>
      <c r="G23">
        <f t="shared" si="0"/>
        <v>2979.6681014692385</v>
      </c>
      <c r="H23" s="15">
        <f t="shared" si="1"/>
        <v>145</v>
      </c>
      <c r="I23">
        <f t="shared" si="30"/>
        <v>-21367.03787878788</v>
      </c>
      <c r="J23" s="15">
        <f t="shared" si="3"/>
        <v>123</v>
      </c>
      <c r="K23">
        <f t="shared" si="4"/>
        <v>2600.5847681359051</v>
      </c>
      <c r="L23" s="15">
        <f t="shared" si="5"/>
        <v>156</v>
      </c>
      <c r="M23">
        <f t="shared" si="6"/>
        <v>2359.3499196510566</v>
      </c>
      <c r="N23" s="15">
        <f t="shared" si="7"/>
        <v>163</v>
      </c>
      <c r="O23">
        <f t="shared" si="8"/>
        <v>1945.804465105602</v>
      </c>
      <c r="P23" s="15">
        <f t="shared" si="9"/>
        <v>175</v>
      </c>
      <c r="Q23">
        <f t="shared" si="10"/>
        <v>2359.3499196510566</v>
      </c>
      <c r="R23" s="15">
        <f t="shared" si="11"/>
        <v>163</v>
      </c>
      <c r="S23">
        <f t="shared" si="12"/>
        <v>3393.213556014693</v>
      </c>
      <c r="T23" s="15">
        <f t="shared" si="13"/>
        <v>133</v>
      </c>
      <c r="U23">
        <f t="shared" si="14"/>
        <v>4392.6150711662085</v>
      </c>
      <c r="V23" s="15">
        <f t="shared" si="15"/>
        <v>104</v>
      </c>
      <c r="W23">
        <f t="shared" si="16"/>
        <v>1807.9559802571171</v>
      </c>
      <c r="X23" s="15">
        <f t="shared" si="17"/>
        <v>179</v>
      </c>
      <c r="Y23">
        <f t="shared" si="18"/>
        <v>5633.2514348025725</v>
      </c>
      <c r="Z23" s="15">
        <f t="shared" si="19"/>
        <v>68</v>
      </c>
      <c r="AA23">
        <f t="shared" si="20"/>
        <v>3496.599919651057</v>
      </c>
      <c r="AB23" s="15">
        <f t="shared" si="21"/>
        <v>130</v>
      </c>
      <c r="AC23">
        <f t="shared" si="22"/>
        <v>3289.8271923783295</v>
      </c>
      <c r="AD23" s="15">
        <f t="shared" si="23"/>
        <v>136</v>
      </c>
      <c r="AE23" s="27">
        <f t="shared" si="24"/>
        <v>3772.2968893480265</v>
      </c>
      <c r="AF23" s="15">
        <f t="shared" si="25"/>
        <v>122</v>
      </c>
      <c r="AG23">
        <f t="shared" si="26"/>
        <v>3944.6074954086325</v>
      </c>
      <c r="AH23" s="15">
        <f t="shared" si="27"/>
        <v>117</v>
      </c>
      <c r="AI23">
        <f t="shared" si="28"/>
        <v>1118.7135560146928</v>
      </c>
      <c r="AJ23" s="15">
        <f t="shared" si="29"/>
        <v>199</v>
      </c>
    </row>
    <row r="24" spans="1:36" x14ac:dyDescent="0.25">
      <c r="A24" s="15"/>
      <c r="B24" s="15">
        <v>11</v>
      </c>
      <c r="C24" s="15">
        <v>187</v>
      </c>
      <c r="D24" s="15">
        <v>231.46212121212122</v>
      </c>
      <c r="E24" s="15">
        <v>155.33333333333334</v>
      </c>
      <c r="F24" s="15">
        <f>(C24-C134)^2</f>
        <v>1976.8802226813596</v>
      </c>
      <c r="G24">
        <f t="shared" si="0"/>
        <v>1532.2590105601473</v>
      </c>
      <c r="H24" s="15">
        <f t="shared" si="1"/>
        <v>197</v>
      </c>
      <c r="I24">
        <f t="shared" si="30"/>
        <v>-16168.416666666668</v>
      </c>
      <c r="J24" s="15">
        <f t="shared" si="3"/>
        <v>145</v>
      </c>
      <c r="K24">
        <f t="shared" si="4"/>
        <v>4822.4559802571175</v>
      </c>
      <c r="L24" s="15">
        <f t="shared" si="5"/>
        <v>123</v>
      </c>
      <c r="M24">
        <f t="shared" si="6"/>
        <v>3355.2059802571175</v>
      </c>
      <c r="N24" s="15">
        <f t="shared" si="7"/>
        <v>156</v>
      </c>
      <c r="O24">
        <f t="shared" si="8"/>
        <v>3043.971131772269</v>
      </c>
      <c r="P24" s="15">
        <f t="shared" si="9"/>
        <v>163</v>
      </c>
      <c r="Q24">
        <f t="shared" si="10"/>
        <v>2510.4256772268141</v>
      </c>
      <c r="R24" s="15">
        <f t="shared" si="11"/>
        <v>175</v>
      </c>
      <c r="S24">
        <f t="shared" si="12"/>
        <v>3043.971131772269</v>
      </c>
      <c r="T24" s="15">
        <f t="shared" si="13"/>
        <v>163</v>
      </c>
      <c r="U24">
        <f t="shared" si="14"/>
        <v>4377.8347681359055</v>
      </c>
      <c r="V24" s="15">
        <f t="shared" si="15"/>
        <v>133</v>
      </c>
      <c r="W24">
        <f t="shared" si="16"/>
        <v>5667.2362832874205</v>
      </c>
      <c r="X24" s="15">
        <f t="shared" si="17"/>
        <v>104</v>
      </c>
      <c r="Y24">
        <f t="shared" si="18"/>
        <v>2332.5771923783295</v>
      </c>
      <c r="Z24" s="15">
        <f t="shared" si="19"/>
        <v>179</v>
      </c>
      <c r="AA24">
        <f t="shared" si="20"/>
        <v>7267.8726469237845</v>
      </c>
      <c r="AB24" s="15">
        <f t="shared" si="21"/>
        <v>68</v>
      </c>
      <c r="AC24">
        <f t="shared" si="22"/>
        <v>4511.2211317722686</v>
      </c>
      <c r="AD24" s="15">
        <f t="shared" si="23"/>
        <v>130</v>
      </c>
      <c r="AE24" s="27">
        <f t="shared" si="24"/>
        <v>4244.4484044995415</v>
      </c>
      <c r="AF24" s="15">
        <f t="shared" si="25"/>
        <v>136</v>
      </c>
      <c r="AG24">
        <f t="shared" si="26"/>
        <v>4866.9181014692385</v>
      </c>
      <c r="AH24" s="15">
        <f t="shared" si="27"/>
        <v>122</v>
      </c>
      <c r="AI24">
        <f t="shared" si="28"/>
        <v>5089.2287075298445</v>
      </c>
      <c r="AJ24" s="15">
        <f t="shared" si="29"/>
        <v>117</v>
      </c>
    </row>
    <row r="25" spans="1:36" x14ac:dyDescent="0.25">
      <c r="A25" s="15">
        <v>2013</v>
      </c>
      <c r="B25" s="15">
        <v>12</v>
      </c>
      <c r="C25" s="15">
        <v>139</v>
      </c>
      <c r="D25" s="15">
        <v>231.46212121212122</v>
      </c>
      <c r="E25" s="15">
        <f>SUM(C14:C25)/COUNT(C14:C25)</f>
        <v>155.33333333333334</v>
      </c>
      <c r="F25" s="15">
        <f>(C25-C134)^2</f>
        <v>8549.2438590449965</v>
      </c>
      <c r="G25">
        <f t="shared" si="0"/>
        <v>4111.0620408631785</v>
      </c>
      <c r="H25" s="15">
        <f t="shared" si="1"/>
        <v>187</v>
      </c>
      <c r="I25">
        <f t="shared" si="30"/>
        <v>-4790.234848484849</v>
      </c>
      <c r="J25" s="15">
        <f t="shared" si="3"/>
        <v>197</v>
      </c>
      <c r="K25">
        <f t="shared" si="4"/>
        <v>7994.4711317722695</v>
      </c>
      <c r="L25" s="15">
        <f t="shared" si="5"/>
        <v>145</v>
      </c>
      <c r="M25">
        <f t="shared" si="6"/>
        <v>10028.637798438936</v>
      </c>
      <c r="N25" s="15">
        <f t="shared" si="7"/>
        <v>123</v>
      </c>
      <c r="O25">
        <f t="shared" si="8"/>
        <v>6977.3877984389355</v>
      </c>
      <c r="P25" s="15">
        <f t="shared" si="9"/>
        <v>156</v>
      </c>
      <c r="Q25">
        <f t="shared" si="10"/>
        <v>6330.1529499540875</v>
      </c>
      <c r="R25" s="15">
        <f t="shared" si="11"/>
        <v>163</v>
      </c>
      <c r="S25">
        <f t="shared" si="12"/>
        <v>5220.6074954086325</v>
      </c>
      <c r="T25" s="15">
        <f t="shared" si="13"/>
        <v>175</v>
      </c>
      <c r="U25">
        <f t="shared" si="14"/>
        <v>6330.1529499540875</v>
      </c>
      <c r="V25" s="15">
        <f t="shared" si="15"/>
        <v>163</v>
      </c>
      <c r="W25">
        <f t="shared" si="16"/>
        <v>9104.0165863177244</v>
      </c>
      <c r="X25" s="15">
        <f t="shared" si="17"/>
        <v>133</v>
      </c>
      <c r="Y25">
        <f t="shared" si="18"/>
        <v>11785.418101469239</v>
      </c>
      <c r="Z25" s="15">
        <f t="shared" si="19"/>
        <v>104</v>
      </c>
      <c r="AA25">
        <f t="shared" si="20"/>
        <v>4850.7590105601475</v>
      </c>
      <c r="AB25" s="15">
        <f t="shared" si="21"/>
        <v>179</v>
      </c>
      <c r="AC25">
        <f t="shared" si="22"/>
        <v>15114.054465105603</v>
      </c>
      <c r="AD25" s="15">
        <f t="shared" si="23"/>
        <v>68</v>
      </c>
      <c r="AE25" s="27">
        <f t="shared" si="24"/>
        <v>9381.4029499540866</v>
      </c>
      <c r="AF25" s="15">
        <f t="shared" si="25"/>
        <v>130</v>
      </c>
      <c r="AG25">
        <f t="shared" si="26"/>
        <v>8826.6302226813605</v>
      </c>
      <c r="AH25" s="15">
        <f t="shared" si="27"/>
        <v>136</v>
      </c>
      <c r="AI25">
        <f t="shared" si="28"/>
        <v>10121.099919651057</v>
      </c>
      <c r="AJ25" s="15">
        <f t="shared" si="29"/>
        <v>122</v>
      </c>
    </row>
    <row r="26" spans="1:36" x14ac:dyDescent="0.25">
      <c r="A26" s="15"/>
      <c r="B26" s="15">
        <v>1</v>
      </c>
      <c r="C26" s="15">
        <v>293</v>
      </c>
      <c r="D26" s="15">
        <v>231.46212121212122</v>
      </c>
      <c r="E26" s="15">
        <v>202.75</v>
      </c>
      <c r="F26" s="15">
        <f>(C26-C134)^2</f>
        <v>3786.9105257116612</v>
      </c>
      <c r="G26">
        <f t="shared" si="0"/>
        <v>-5689.9228076216714</v>
      </c>
      <c r="H26" s="15">
        <f t="shared" si="1"/>
        <v>139</v>
      </c>
      <c r="I26">
        <f t="shared" si="30"/>
        <v>-13027.401515151518</v>
      </c>
      <c r="J26" s="15">
        <f t="shared" si="3"/>
        <v>187</v>
      </c>
      <c r="K26">
        <f t="shared" si="4"/>
        <v>-2120.7258379247019</v>
      </c>
      <c r="L26" s="15">
        <f t="shared" si="5"/>
        <v>197</v>
      </c>
      <c r="M26">
        <f t="shared" si="6"/>
        <v>-5320.6955348943984</v>
      </c>
      <c r="N26" s="15">
        <f t="shared" si="7"/>
        <v>145</v>
      </c>
      <c r="O26">
        <f t="shared" si="8"/>
        <v>-6674.5288682277314</v>
      </c>
      <c r="P26" s="15">
        <f t="shared" si="9"/>
        <v>123</v>
      </c>
      <c r="Q26">
        <f t="shared" si="10"/>
        <v>-4643.7788682277314</v>
      </c>
      <c r="R26" s="15">
        <f t="shared" si="11"/>
        <v>156</v>
      </c>
      <c r="S26">
        <f t="shared" si="12"/>
        <v>-4213.0137167125804</v>
      </c>
      <c r="T26" s="15">
        <f t="shared" si="13"/>
        <v>163</v>
      </c>
      <c r="U26">
        <f t="shared" si="14"/>
        <v>-3474.5591712580349</v>
      </c>
      <c r="V26" s="15">
        <f t="shared" si="15"/>
        <v>175</v>
      </c>
      <c r="W26">
        <f t="shared" si="16"/>
        <v>-4213.0137167125804</v>
      </c>
      <c r="X26" s="15">
        <f t="shared" si="17"/>
        <v>163</v>
      </c>
      <c r="Y26">
        <f t="shared" si="18"/>
        <v>-6059.1500803489434</v>
      </c>
      <c r="Z26" s="15">
        <f t="shared" si="19"/>
        <v>133</v>
      </c>
      <c r="AA26">
        <f t="shared" si="20"/>
        <v>-7843.7485651974284</v>
      </c>
      <c r="AB26" s="15">
        <f t="shared" si="21"/>
        <v>104</v>
      </c>
      <c r="AC26">
        <f t="shared" si="22"/>
        <v>-3228.4076561065199</v>
      </c>
      <c r="AD26" s="15">
        <f t="shared" si="23"/>
        <v>179</v>
      </c>
      <c r="AE26" s="27">
        <f t="shared" si="24"/>
        <v>-10059.112201561065</v>
      </c>
      <c r="AF26" s="15">
        <f t="shared" si="25"/>
        <v>68</v>
      </c>
      <c r="AG26">
        <f t="shared" si="26"/>
        <v>-6243.7637167125804</v>
      </c>
      <c r="AH26" s="15">
        <f t="shared" si="27"/>
        <v>130</v>
      </c>
      <c r="AI26">
        <f t="shared" si="28"/>
        <v>-5874.5364439853074</v>
      </c>
      <c r="AJ26" s="15">
        <f t="shared" si="29"/>
        <v>136</v>
      </c>
    </row>
    <row r="27" spans="1:36" x14ac:dyDescent="0.25">
      <c r="A27" s="15"/>
      <c r="B27" s="15">
        <v>2</v>
      </c>
      <c r="C27" s="15">
        <v>157</v>
      </c>
      <c r="D27" s="15">
        <v>231.46212121212122</v>
      </c>
      <c r="E27" s="15">
        <v>202.75</v>
      </c>
      <c r="F27" s="15">
        <f>(C27-C134)^2</f>
        <v>5544.6074954086325</v>
      </c>
      <c r="G27">
        <f t="shared" si="0"/>
        <v>-4582.2409894398534</v>
      </c>
      <c r="H27" s="15">
        <f t="shared" si="1"/>
        <v>293</v>
      </c>
      <c r="I27">
        <f t="shared" si="30"/>
        <v>-14516.553030303032</v>
      </c>
      <c r="J27" s="15">
        <f t="shared" si="3"/>
        <v>139</v>
      </c>
      <c r="K27">
        <f t="shared" si="4"/>
        <v>3310.743859044996</v>
      </c>
      <c r="L27" s="15">
        <f t="shared" si="5"/>
        <v>187</v>
      </c>
      <c r="M27">
        <f t="shared" si="6"/>
        <v>2566.122646923784</v>
      </c>
      <c r="N27" s="15">
        <f t="shared" si="7"/>
        <v>197</v>
      </c>
      <c r="O27">
        <f t="shared" si="8"/>
        <v>6438.1529499540875</v>
      </c>
      <c r="P27" s="15">
        <f t="shared" si="9"/>
        <v>145</v>
      </c>
      <c r="Q27">
        <f t="shared" si="10"/>
        <v>8076.3196166207545</v>
      </c>
      <c r="R27" s="15">
        <f t="shared" si="11"/>
        <v>123</v>
      </c>
      <c r="S27">
        <f t="shared" si="12"/>
        <v>5619.0696166207535</v>
      </c>
      <c r="T27" s="15">
        <f t="shared" si="13"/>
        <v>156</v>
      </c>
      <c r="U27">
        <f t="shared" si="14"/>
        <v>5097.8347681359055</v>
      </c>
      <c r="V27" s="15">
        <f t="shared" si="15"/>
        <v>163</v>
      </c>
      <c r="W27">
        <f t="shared" si="16"/>
        <v>4204.2893135904505</v>
      </c>
      <c r="X27" s="15">
        <f t="shared" si="17"/>
        <v>175</v>
      </c>
      <c r="Y27">
        <f t="shared" si="18"/>
        <v>5097.8347681359055</v>
      </c>
      <c r="Z27" s="15">
        <f t="shared" si="19"/>
        <v>163</v>
      </c>
      <c r="AA27">
        <f t="shared" si="20"/>
        <v>7331.6984044995415</v>
      </c>
      <c r="AB27" s="15">
        <f t="shared" si="21"/>
        <v>133</v>
      </c>
      <c r="AC27">
        <f t="shared" si="22"/>
        <v>9491.0999196510566</v>
      </c>
      <c r="AD27" s="15">
        <f t="shared" si="23"/>
        <v>104</v>
      </c>
      <c r="AE27" s="27">
        <f t="shared" si="24"/>
        <v>3906.440828741966</v>
      </c>
      <c r="AF27" s="15">
        <f t="shared" si="25"/>
        <v>179</v>
      </c>
      <c r="AG27">
        <f t="shared" si="26"/>
        <v>12171.736283287421</v>
      </c>
      <c r="AH27" s="15">
        <f t="shared" si="27"/>
        <v>68</v>
      </c>
      <c r="AI27">
        <f t="shared" si="28"/>
        <v>7555.0847681359055</v>
      </c>
      <c r="AJ27" s="15">
        <f t="shared" si="29"/>
        <v>130</v>
      </c>
    </row>
    <row r="28" spans="1:36" x14ac:dyDescent="0.25">
      <c r="A28" s="15"/>
      <c r="B28" s="15">
        <v>3</v>
      </c>
      <c r="C28" s="15">
        <v>168</v>
      </c>
      <c r="D28" s="15">
        <v>231.46212121212122</v>
      </c>
      <c r="E28" s="15">
        <v>202.75</v>
      </c>
      <c r="F28" s="15">
        <f>(C28-C134)^2</f>
        <v>4027.440828741966</v>
      </c>
      <c r="G28">
        <f t="shared" si="0"/>
        <v>4725.5241620752995</v>
      </c>
      <c r="H28" s="15">
        <f t="shared" si="1"/>
        <v>157</v>
      </c>
      <c r="I28">
        <f t="shared" si="30"/>
        <v>10338.363636363636</v>
      </c>
      <c r="J28" s="15">
        <f t="shared" si="3"/>
        <v>293</v>
      </c>
      <c r="K28">
        <f t="shared" si="4"/>
        <v>5867.8423438934815</v>
      </c>
      <c r="L28" s="15">
        <f t="shared" si="5"/>
        <v>139</v>
      </c>
      <c r="M28">
        <f t="shared" si="6"/>
        <v>2821.6605257116626</v>
      </c>
      <c r="N28" s="15">
        <f t="shared" si="7"/>
        <v>187</v>
      </c>
      <c r="O28">
        <f t="shared" si="8"/>
        <v>2187.0393135904505</v>
      </c>
      <c r="P28" s="15">
        <f t="shared" si="9"/>
        <v>197</v>
      </c>
      <c r="Q28">
        <f t="shared" si="10"/>
        <v>5487.0696166207535</v>
      </c>
      <c r="R28" s="15">
        <f t="shared" si="11"/>
        <v>145</v>
      </c>
      <c r="S28">
        <f t="shared" si="12"/>
        <v>6883.2362832874205</v>
      </c>
      <c r="T28" s="15">
        <f t="shared" si="13"/>
        <v>123</v>
      </c>
      <c r="U28">
        <f t="shared" si="14"/>
        <v>4788.9862832874205</v>
      </c>
      <c r="V28" s="15">
        <f t="shared" si="15"/>
        <v>156</v>
      </c>
      <c r="W28">
        <f t="shared" si="16"/>
        <v>4344.7514348025716</v>
      </c>
      <c r="X28" s="15">
        <f t="shared" si="17"/>
        <v>163</v>
      </c>
      <c r="Y28">
        <f t="shared" si="18"/>
        <v>3583.2059802571175</v>
      </c>
      <c r="Z28" s="15">
        <f t="shared" si="19"/>
        <v>175</v>
      </c>
      <c r="AA28">
        <f t="shared" si="20"/>
        <v>4344.7514348025716</v>
      </c>
      <c r="AB28" s="15">
        <f t="shared" si="21"/>
        <v>163</v>
      </c>
      <c r="AC28">
        <f t="shared" si="22"/>
        <v>6248.6150711662085</v>
      </c>
      <c r="AD28" s="15">
        <f t="shared" si="23"/>
        <v>133</v>
      </c>
      <c r="AE28" s="27">
        <f t="shared" si="24"/>
        <v>8089.0165863177235</v>
      </c>
      <c r="AF28" s="15">
        <f t="shared" si="25"/>
        <v>104</v>
      </c>
      <c r="AG28">
        <f t="shared" si="26"/>
        <v>3329.3574954086325</v>
      </c>
      <c r="AH28" s="15">
        <f t="shared" si="27"/>
        <v>179</v>
      </c>
      <c r="AI28">
        <f t="shared" si="28"/>
        <v>10373.652949954088</v>
      </c>
      <c r="AJ28" s="15">
        <f t="shared" si="29"/>
        <v>68</v>
      </c>
    </row>
    <row r="29" spans="1:36" x14ac:dyDescent="0.25">
      <c r="A29" s="15"/>
      <c r="B29" s="15">
        <v>4</v>
      </c>
      <c r="C29" s="15">
        <v>174</v>
      </c>
      <c r="D29" s="15">
        <v>231.46212121212122</v>
      </c>
      <c r="E29" s="15">
        <v>202.75</v>
      </c>
      <c r="F29" s="15">
        <f>(C29-C134)^2</f>
        <v>3301.8953741965111</v>
      </c>
      <c r="G29">
        <f t="shared" si="0"/>
        <v>3646.6681014692385</v>
      </c>
      <c r="H29" s="15">
        <f t="shared" si="1"/>
        <v>168</v>
      </c>
      <c r="I29">
        <f t="shared" si="30"/>
        <v>-12956.409090909092</v>
      </c>
      <c r="J29" s="15">
        <f t="shared" si="3"/>
        <v>157</v>
      </c>
      <c r="K29">
        <f t="shared" si="4"/>
        <v>-3536.0970500459139</v>
      </c>
      <c r="L29" s="15">
        <f t="shared" si="5"/>
        <v>293</v>
      </c>
      <c r="M29">
        <f t="shared" si="6"/>
        <v>5313.0696166207535</v>
      </c>
      <c r="N29" s="15">
        <f t="shared" si="7"/>
        <v>139</v>
      </c>
      <c r="O29">
        <f t="shared" si="8"/>
        <v>2554.8877984389355</v>
      </c>
      <c r="P29" s="15">
        <f t="shared" si="9"/>
        <v>187</v>
      </c>
      <c r="Q29">
        <f t="shared" si="10"/>
        <v>1980.2665863177233</v>
      </c>
      <c r="R29" s="15">
        <f t="shared" si="11"/>
        <v>197</v>
      </c>
      <c r="S29">
        <f t="shared" si="12"/>
        <v>4968.2968893480265</v>
      </c>
      <c r="T29" s="15">
        <f t="shared" si="13"/>
        <v>145</v>
      </c>
      <c r="U29">
        <f t="shared" si="14"/>
        <v>6232.4635560146935</v>
      </c>
      <c r="V29" s="15">
        <f t="shared" si="15"/>
        <v>123</v>
      </c>
      <c r="W29">
        <f t="shared" si="16"/>
        <v>4336.2135560146935</v>
      </c>
      <c r="X29" s="15">
        <f t="shared" si="17"/>
        <v>156</v>
      </c>
      <c r="Y29">
        <f t="shared" si="18"/>
        <v>3933.9787075298445</v>
      </c>
      <c r="Z29" s="15">
        <f t="shared" si="19"/>
        <v>163</v>
      </c>
      <c r="AA29">
        <f t="shared" si="20"/>
        <v>3244.43325298439</v>
      </c>
      <c r="AB29" s="15">
        <f t="shared" si="21"/>
        <v>175</v>
      </c>
      <c r="AC29">
        <f t="shared" si="22"/>
        <v>3933.9787075298445</v>
      </c>
      <c r="AD29" s="15">
        <f t="shared" si="23"/>
        <v>163</v>
      </c>
      <c r="AE29" s="27">
        <f t="shared" si="24"/>
        <v>5657.8423438934815</v>
      </c>
      <c r="AF29" s="15">
        <f t="shared" si="25"/>
        <v>133</v>
      </c>
      <c r="AG29">
        <f t="shared" si="26"/>
        <v>7324.2438590449965</v>
      </c>
      <c r="AH29" s="15">
        <f t="shared" si="27"/>
        <v>104</v>
      </c>
      <c r="AI29">
        <f t="shared" si="28"/>
        <v>3014.5847681359051</v>
      </c>
      <c r="AJ29" s="15">
        <f t="shared" si="29"/>
        <v>179</v>
      </c>
    </row>
    <row r="30" spans="1:36" x14ac:dyDescent="0.25">
      <c r="A30" s="15"/>
      <c r="B30" s="15">
        <v>5</v>
      </c>
      <c r="C30" s="15">
        <v>342</v>
      </c>
      <c r="D30" s="15">
        <v>231.46212121212122</v>
      </c>
      <c r="E30" s="15">
        <v>202.75</v>
      </c>
      <c r="F30" s="15">
        <f>(C30-C134)^2</f>
        <v>12218.622646923783</v>
      </c>
      <c r="G30">
        <f t="shared" si="0"/>
        <v>-6351.7409894398534</v>
      </c>
      <c r="H30" s="15">
        <f t="shared" si="1"/>
        <v>174</v>
      </c>
      <c r="I30">
        <f t="shared" si="30"/>
        <v>-21704.045454545456</v>
      </c>
      <c r="J30" s="15">
        <f t="shared" si="3"/>
        <v>168</v>
      </c>
      <c r="K30">
        <f t="shared" si="4"/>
        <v>-8230.8849288337933</v>
      </c>
      <c r="L30" s="15">
        <f t="shared" si="5"/>
        <v>157</v>
      </c>
      <c r="M30">
        <f t="shared" si="6"/>
        <v>6802.2665863177217</v>
      </c>
      <c r="N30" s="15">
        <f t="shared" si="7"/>
        <v>293</v>
      </c>
      <c r="O30">
        <f t="shared" si="8"/>
        <v>-10220.566747015611</v>
      </c>
      <c r="P30" s="15">
        <f t="shared" si="9"/>
        <v>139</v>
      </c>
      <c r="Q30">
        <f t="shared" si="10"/>
        <v>-4914.7485651974293</v>
      </c>
      <c r="R30" s="15">
        <f t="shared" si="11"/>
        <v>187</v>
      </c>
      <c r="S30">
        <f t="shared" si="12"/>
        <v>-3809.3697773186414</v>
      </c>
      <c r="T30" s="15">
        <f t="shared" si="13"/>
        <v>197</v>
      </c>
      <c r="U30">
        <f t="shared" si="14"/>
        <v>-9557.3394742883374</v>
      </c>
      <c r="V30" s="15">
        <f t="shared" si="15"/>
        <v>145</v>
      </c>
      <c r="W30">
        <f t="shared" si="16"/>
        <v>-11989.172807621671</v>
      </c>
      <c r="X30" s="15">
        <f t="shared" si="17"/>
        <v>123</v>
      </c>
      <c r="Y30">
        <f t="shared" si="18"/>
        <v>-8341.4228076216714</v>
      </c>
      <c r="Z30" s="15">
        <f t="shared" si="19"/>
        <v>156</v>
      </c>
      <c r="AA30">
        <f t="shared" si="20"/>
        <v>-7567.6576561065203</v>
      </c>
      <c r="AB30" s="15">
        <f t="shared" si="21"/>
        <v>163</v>
      </c>
      <c r="AC30">
        <f t="shared" si="22"/>
        <v>-6241.2031106519744</v>
      </c>
      <c r="AD30" s="15">
        <f t="shared" si="23"/>
        <v>175</v>
      </c>
      <c r="AE30" s="27">
        <f t="shared" si="24"/>
        <v>-7567.6576561065203</v>
      </c>
      <c r="AF30" s="15">
        <f t="shared" si="25"/>
        <v>163</v>
      </c>
      <c r="AG30">
        <f t="shared" si="26"/>
        <v>-10883.794019742883</v>
      </c>
      <c r="AH30" s="15">
        <f t="shared" si="27"/>
        <v>133</v>
      </c>
      <c r="AI30">
        <f t="shared" si="28"/>
        <v>-14089.392504591367</v>
      </c>
      <c r="AJ30" s="15">
        <f t="shared" si="29"/>
        <v>104</v>
      </c>
    </row>
    <row r="31" spans="1:36" x14ac:dyDescent="0.25">
      <c r="A31" s="15"/>
      <c r="B31" s="15">
        <v>6</v>
      </c>
      <c r="C31" s="15">
        <v>227</v>
      </c>
      <c r="D31" s="15">
        <v>231.46212121212122</v>
      </c>
      <c r="E31" s="15">
        <v>202.75</v>
      </c>
      <c r="F31" s="15">
        <f>(C31-C134)^2</f>
        <v>19.910525711662128</v>
      </c>
      <c r="G31">
        <f t="shared" si="0"/>
        <v>-493.23341368227796</v>
      </c>
      <c r="H31" s="15">
        <f t="shared" si="1"/>
        <v>342</v>
      </c>
      <c r="I31">
        <f t="shared" si="30"/>
        <v>-13043.901515151516</v>
      </c>
      <c r="J31" s="15">
        <f t="shared" si="3"/>
        <v>174</v>
      </c>
      <c r="K31">
        <f t="shared" si="4"/>
        <v>283.175677226814</v>
      </c>
      <c r="L31" s="15">
        <f t="shared" si="5"/>
        <v>168</v>
      </c>
      <c r="M31">
        <f t="shared" si="6"/>
        <v>332.25901056014737</v>
      </c>
      <c r="N31" s="15">
        <f t="shared" si="7"/>
        <v>157</v>
      </c>
      <c r="O31">
        <f t="shared" si="8"/>
        <v>-274.58947428833829</v>
      </c>
      <c r="P31" s="15">
        <f t="shared" si="9"/>
        <v>293</v>
      </c>
      <c r="Q31">
        <f t="shared" si="10"/>
        <v>412.5771923783293</v>
      </c>
      <c r="R31" s="15">
        <f t="shared" si="11"/>
        <v>139</v>
      </c>
      <c r="S31">
        <f t="shared" si="12"/>
        <v>198.39537419651086</v>
      </c>
      <c r="T31" s="15">
        <f t="shared" si="13"/>
        <v>187</v>
      </c>
      <c r="U31">
        <f t="shared" si="14"/>
        <v>153.77416207529868</v>
      </c>
      <c r="V31" s="15">
        <f t="shared" si="15"/>
        <v>197</v>
      </c>
      <c r="W31">
        <f t="shared" si="16"/>
        <v>385.80446510560199</v>
      </c>
      <c r="X31" s="15">
        <f t="shared" si="17"/>
        <v>145</v>
      </c>
      <c r="Y31">
        <f t="shared" si="18"/>
        <v>483.97113177226879</v>
      </c>
      <c r="Z31" s="15">
        <f t="shared" si="19"/>
        <v>123</v>
      </c>
      <c r="AA31">
        <f t="shared" si="20"/>
        <v>336.72113177226862</v>
      </c>
      <c r="AB31" s="15">
        <f t="shared" si="21"/>
        <v>156</v>
      </c>
      <c r="AC31">
        <f t="shared" si="22"/>
        <v>305.48628328742006</v>
      </c>
      <c r="AD31" s="15">
        <f t="shared" si="23"/>
        <v>163</v>
      </c>
      <c r="AE31" s="27">
        <f t="shared" si="24"/>
        <v>251.94082874196548</v>
      </c>
      <c r="AF31" s="15">
        <f t="shared" si="25"/>
        <v>175</v>
      </c>
      <c r="AG31">
        <f t="shared" si="26"/>
        <v>305.48628328742006</v>
      </c>
      <c r="AH31" s="15">
        <f t="shared" si="27"/>
        <v>163</v>
      </c>
      <c r="AI31">
        <f t="shared" si="28"/>
        <v>439.34991965105661</v>
      </c>
      <c r="AJ31" s="15">
        <f t="shared" si="29"/>
        <v>133</v>
      </c>
    </row>
    <row r="32" spans="1:36" x14ac:dyDescent="0.25">
      <c r="A32" s="15"/>
      <c r="B32" s="15">
        <v>7</v>
      </c>
      <c r="C32" s="15">
        <v>207</v>
      </c>
      <c r="D32" s="15">
        <v>231.46212121212122</v>
      </c>
      <c r="E32" s="15">
        <v>202.75</v>
      </c>
      <c r="F32" s="15">
        <f>(C32-C134)^2</f>
        <v>598.39537419651083</v>
      </c>
      <c r="G32">
        <f t="shared" si="0"/>
        <v>109.15294995408649</v>
      </c>
      <c r="H32" s="15">
        <f t="shared" si="1"/>
        <v>227</v>
      </c>
      <c r="I32">
        <f t="shared" si="30"/>
        <v>22881.340909090908</v>
      </c>
      <c r="J32" s="15">
        <f t="shared" si="3"/>
        <v>342</v>
      </c>
      <c r="K32">
        <f t="shared" si="4"/>
        <v>1405.6453741965111</v>
      </c>
      <c r="L32" s="15">
        <f t="shared" si="5"/>
        <v>174</v>
      </c>
      <c r="M32">
        <f t="shared" si="6"/>
        <v>1552.4181014692383</v>
      </c>
      <c r="N32" s="15">
        <f t="shared" si="7"/>
        <v>168</v>
      </c>
      <c r="O32">
        <f t="shared" si="8"/>
        <v>1821.5014348025718</v>
      </c>
      <c r="P32" s="15">
        <f t="shared" si="9"/>
        <v>157</v>
      </c>
      <c r="Q32">
        <f t="shared" si="10"/>
        <v>-1505.3470500459139</v>
      </c>
      <c r="R32" s="15">
        <f t="shared" si="11"/>
        <v>293</v>
      </c>
      <c r="S32">
        <f t="shared" si="12"/>
        <v>2261.8196166207535</v>
      </c>
      <c r="T32" s="15">
        <f t="shared" si="13"/>
        <v>139</v>
      </c>
      <c r="U32">
        <f t="shared" si="14"/>
        <v>1087.6377984389353</v>
      </c>
      <c r="V32" s="15">
        <f t="shared" si="15"/>
        <v>187</v>
      </c>
      <c r="W32">
        <f t="shared" si="16"/>
        <v>843.01658631772307</v>
      </c>
      <c r="X32" s="15">
        <f t="shared" si="17"/>
        <v>197</v>
      </c>
      <c r="Y32">
        <f t="shared" si="18"/>
        <v>2115.0468893480265</v>
      </c>
      <c r="Z32" s="15">
        <f t="shared" si="19"/>
        <v>145</v>
      </c>
      <c r="AA32">
        <f t="shared" si="20"/>
        <v>2653.213556014693</v>
      </c>
      <c r="AB32" s="15">
        <f t="shared" si="21"/>
        <v>123</v>
      </c>
      <c r="AC32">
        <f t="shared" si="22"/>
        <v>1845.963556014693</v>
      </c>
      <c r="AD32" s="15">
        <f t="shared" si="23"/>
        <v>156</v>
      </c>
      <c r="AE32" s="27">
        <f t="shared" si="24"/>
        <v>1674.7287075298445</v>
      </c>
      <c r="AF32" s="15">
        <f t="shared" si="25"/>
        <v>163</v>
      </c>
      <c r="AG32">
        <f t="shared" si="26"/>
        <v>1381.1832529843898</v>
      </c>
      <c r="AH32" s="15">
        <f t="shared" si="27"/>
        <v>175</v>
      </c>
      <c r="AI32">
        <f t="shared" si="28"/>
        <v>1674.7287075298445</v>
      </c>
      <c r="AJ32" s="15">
        <f t="shared" si="29"/>
        <v>163</v>
      </c>
    </row>
    <row r="33" spans="1:36" x14ac:dyDescent="0.25">
      <c r="A33" s="15"/>
      <c r="B33" s="15">
        <v>8</v>
      </c>
      <c r="C33" s="15">
        <v>150</v>
      </c>
      <c r="D33" s="15">
        <v>231.46212121212122</v>
      </c>
      <c r="E33" s="15">
        <v>202.75</v>
      </c>
      <c r="F33" s="15">
        <f>(C33-C134)^2</f>
        <v>6636.0771923783295</v>
      </c>
      <c r="G33">
        <f t="shared" si="0"/>
        <v>1992.7362832874203</v>
      </c>
      <c r="H33" s="15">
        <f t="shared" si="1"/>
        <v>207</v>
      </c>
      <c r="I33">
        <f t="shared" si="30"/>
        <v>-669.31818181818267</v>
      </c>
      <c r="J33" s="15">
        <f t="shared" si="3"/>
        <v>227</v>
      </c>
      <c r="K33">
        <f t="shared" si="4"/>
        <v>-9004.6500803489434</v>
      </c>
      <c r="L33" s="15">
        <f t="shared" si="5"/>
        <v>342</v>
      </c>
      <c r="M33">
        <f t="shared" si="6"/>
        <v>4680.9862832874205</v>
      </c>
      <c r="N33" s="15">
        <f t="shared" si="7"/>
        <v>174</v>
      </c>
      <c r="O33">
        <f t="shared" si="8"/>
        <v>5169.7590105601475</v>
      </c>
      <c r="P33" s="15">
        <f t="shared" si="9"/>
        <v>168</v>
      </c>
      <c r="Q33">
        <f t="shared" si="10"/>
        <v>6065.8423438934815</v>
      </c>
      <c r="R33" s="15">
        <f t="shared" si="11"/>
        <v>157</v>
      </c>
      <c r="S33">
        <f t="shared" si="12"/>
        <v>-5013.0061409550044</v>
      </c>
      <c r="T33" s="15">
        <f t="shared" si="13"/>
        <v>293</v>
      </c>
      <c r="U33">
        <f t="shared" si="14"/>
        <v>7532.1605257116635</v>
      </c>
      <c r="V33" s="15">
        <f t="shared" si="15"/>
        <v>139</v>
      </c>
      <c r="W33">
        <f t="shared" si="16"/>
        <v>3621.9787075298445</v>
      </c>
      <c r="X33" s="15">
        <f t="shared" si="17"/>
        <v>187</v>
      </c>
      <c r="Y33">
        <f t="shared" si="18"/>
        <v>2807.3574954086325</v>
      </c>
      <c r="Z33" s="15">
        <f t="shared" si="19"/>
        <v>197</v>
      </c>
      <c r="AA33">
        <f t="shared" si="20"/>
        <v>7043.3877984389355</v>
      </c>
      <c r="AB33" s="15">
        <f t="shared" si="21"/>
        <v>145</v>
      </c>
      <c r="AC33">
        <f t="shared" si="22"/>
        <v>8835.5544651056025</v>
      </c>
      <c r="AD33" s="15">
        <f t="shared" si="23"/>
        <v>123</v>
      </c>
      <c r="AE33" s="27">
        <f t="shared" si="24"/>
        <v>6147.3044651056025</v>
      </c>
      <c r="AF33" s="15">
        <f t="shared" si="25"/>
        <v>156</v>
      </c>
      <c r="AG33">
        <f t="shared" si="26"/>
        <v>5577.0696166207535</v>
      </c>
      <c r="AH33" s="15">
        <f t="shared" si="27"/>
        <v>163</v>
      </c>
      <c r="AI33">
        <f t="shared" si="28"/>
        <v>4599.5241620752995</v>
      </c>
      <c r="AJ33" s="15">
        <f t="shared" si="29"/>
        <v>175</v>
      </c>
    </row>
    <row r="34" spans="1:36" x14ac:dyDescent="0.25">
      <c r="A34" s="15"/>
      <c r="B34" s="15">
        <v>9</v>
      </c>
      <c r="C34" s="15">
        <v>171</v>
      </c>
      <c r="D34" s="15">
        <v>231.46212121212122</v>
      </c>
      <c r="E34" s="15">
        <v>202.75</v>
      </c>
      <c r="F34" s="15">
        <f>(C34-C134)^2</f>
        <v>3655.6681014692385</v>
      </c>
      <c r="G34">
        <f t="shared" si="0"/>
        <v>4925.3726469237845</v>
      </c>
      <c r="H34" s="15">
        <f t="shared" si="1"/>
        <v>150</v>
      </c>
      <c r="I34">
        <f t="shared" si="30"/>
        <v>-4183.0227272727279</v>
      </c>
      <c r="J34" s="15">
        <f t="shared" si="3"/>
        <v>207</v>
      </c>
      <c r="K34">
        <f t="shared" si="4"/>
        <v>269.78931359045032</v>
      </c>
      <c r="L34" s="15">
        <f t="shared" si="5"/>
        <v>227</v>
      </c>
      <c r="M34">
        <f t="shared" si="6"/>
        <v>-6683.3546258034894</v>
      </c>
      <c r="N34" s="15">
        <f t="shared" si="7"/>
        <v>342</v>
      </c>
      <c r="O34">
        <f t="shared" si="8"/>
        <v>3474.281737832875</v>
      </c>
      <c r="P34" s="15">
        <f t="shared" si="9"/>
        <v>174</v>
      </c>
      <c r="Q34">
        <f t="shared" si="10"/>
        <v>3837.054465105602</v>
      </c>
      <c r="R34" s="15">
        <f t="shared" si="11"/>
        <v>168</v>
      </c>
      <c r="S34">
        <f t="shared" si="12"/>
        <v>4502.1377984389355</v>
      </c>
      <c r="T34" s="15">
        <f t="shared" si="13"/>
        <v>157</v>
      </c>
      <c r="U34">
        <f t="shared" si="14"/>
        <v>-3720.7106864095499</v>
      </c>
      <c r="V34" s="15">
        <f t="shared" si="15"/>
        <v>293</v>
      </c>
      <c r="W34">
        <f t="shared" si="16"/>
        <v>5590.4559802571175</v>
      </c>
      <c r="X34" s="15">
        <f t="shared" si="17"/>
        <v>139</v>
      </c>
      <c r="Y34">
        <f t="shared" si="18"/>
        <v>2688.274162075299</v>
      </c>
      <c r="Z34" s="15">
        <f t="shared" si="19"/>
        <v>187</v>
      </c>
      <c r="AA34">
        <f t="shared" si="20"/>
        <v>2083.652949954087</v>
      </c>
      <c r="AB34" s="15">
        <f t="shared" si="21"/>
        <v>197</v>
      </c>
      <c r="AC34">
        <f t="shared" si="22"/>
        <v>5227.6832529843905</v>
      </c>
      <c r="AD34" s="15">
        <f t="shared" si="23"/>
        <v>145</v>
      </c>
      <c r="AE34" s="27">
        <f t="shared" si="24"/>
        <v>6557.8499196510575</v>
      </c>
      <c r="AF34" s="15">
        <f t="shared" si="25"/>
        <v>123</v>
      </c>
      <c r="AG34">
        <f t="shared" si="26"/>
        <v>4562.5999196510566</v>
      </c>
      <c r="AH34" s="15">
        <f t="shared" si="27"/>
        <v>156</v>
      </c>
      <c r="AI34">
        <f t="shared" si="28"/>
        <v>4139.3650711662085</v>
      </c>
      <c r="AJ34" s="15">
        <f t="shared" si="29"/>
        <v>163</v>
      </c>
    </row>
    <row r="35" spans="1:36" x14ac:dyDescent="0.25">
      <c r="A35" s="15"/>
      <c r="B35" s="15">
        <v>10</v>
      </c>
      <c r="C35" s="15">
        <v>217</v>
      </c>
      <c r="D35" s="15">
        <v>231.46212121212122</v>
      </c>
      <c r="E35" s="15">
        <v>202.75</v>
      </c>
      <c r="F35" s="15">
        <f>(C35-C134)^2</f>
        <v>209.15294995408649</v>
      </c>
      <c r="G35">
        <f t="shared" ref="G35:G66" si="31">(C35-$C$134)*(H35-$C$134)</f>
        <v>874.41052571166256</v>
      </c>
      <c r="H35" s="15">
        <f t="shared" ref="H35:H66" si="32">C34</f>
        <v>171</v>
      </c>
      <c r="I35">
        <f t="shared" si="30"/>
        <v>-17677.280303030304</v>
      </c>
      <c r="J35" s="15">
        <f t="shared" si="3"/>
        <v>150</v>
      </c>
      <c r="K35">
        <f t="shared" si="4"/>
        <v>353.77416207529865</v>
      </c>
      <c r="L35" s="15">
        <f t="shared" si="5"/>
        <v>207</v>
      </c>
      <c r="M35">
        <f t="shared" si="6"/>
        <v>64.531737832874313</v>
      </c>
      <c r="N35" s="15">
        <f t="shared" si="7"/>
        <v>227</v>
      </c>
      <c r="O35">
        <f t="shared" si="8"/>
        <v>-1598.6122015610658</v>
      </c>
      <c r="P35" s="15">
        <f t="shared" si="9"/>
        <v>342</v>
      </c>
      <c r="Q35">
        <f t="shared" si="10"/>
        <v>831.02416207529882</v>
      </c>
      <c r="R35" s="15">
        <f t="shared" si="11"/>
        <v>174</v>
      </c>
      <c r="S35">
        <f t="shared" si="12"/>
        <v>917.79688934802618</v>
      </c>
      <c r="T35" s="15">
        <f t="shared" si="13"/>
        <v>168</v>
      </c>
      <c r="U35">
        <f t="shared" si="14"/>
        <v>1076.8802226813596</v>
      </c>
      <c r="V35" s="15">
        <f t="shared" si="15"/>
        <v>157</v>
      </c>
      <c r="W35">
        <f t="shared" si="16"/>
        <v>-889.96826216712611</v>
      </c>
      <c r="X35" s="15">
        <f t="shared" si="17"/>
        <v>293</v>
      </c>
      <c r="Y35">
        <f t="shared" si="18"/>
        <v>1337.1984044995415</v>
      </c>
      <c r="Z35" s="15">
        <f t="shared" si="19"/>
        <v>139</v>
      </c>
      <c r="AA35">
        <f t="shared" si="20"/>
        <v>643.01658631772307</v>
      </c>
      <c r="AB35" s="15">
        <f t="shared" si="21"/>
        <v>187</v>
      </c>
      <c r="AC35">
        <f t="shared" si="22"/>
        <v>498.39537419651083</v>
      </c>
      <c r="AD35" s="15">
        <f t="shared" si="23"/>
        <v>197</v>
      </c>
      <c r="AE35" s="27">
        <f t="shared" si="24"/>
        <v>1250.4256772268143</v>
      </c>
      <c r="AF35" s="15">
        <f t="shared" si="25"/>
        <v>145</v>
      </c>
      <c r="AG35">
        <f t="shared" si="26"/>
        <v>1568.592343893481</v>
      </c>
      <c r="AH35" s="15">
        <f t="shared" si="27"/>
        <v>123</v>
      </c>
      <c r="AI35">
        <f t="shared" si="28"/>
        <v>1091.3423438934808</v>
      </c>
      <c r="AJ35" s="15">
        <f t="shared" si="29"/>
        <v>156</v>
      </c>
    </row>
    <row r="36" spans="1:36" x14ac:dyDescent="0.25">
      <c r="A36" s="15"/>
      <c r="B36" s="15">
        <v>11</v>
      </c>
      <c r="C36" s="15">
        <v>149</v>
      </c>
      <c r="D36" s="15">
        <v>231.46212121212122</v>
      </c>
      <c r="E36" s="15">
        <v>202.75</v>
      </c>
      <c r="F36" s="15">
        <f>(C36-C134)^2</f>
        <v>6800.0014348025725</v>
      </c>
      <c r="G36">
        <f t="shared" si="31"/>
        <v>1192.5771923783293</v>
      </c>
      <c r="H36" s="15">
        <f t="shared" si="32"/>
        <v>217</v>
      </c>
      <c r="I36">
        <f t="shared" si="30"/>
        <v>-9008.8560606060619</v>
      </c>
      <c r="J36" s="15">
        <f t="shared" ref="J36:J67" si="33">H35</f>
        <v>171</v>
      </c>
      <c r="K36">
        <f t="shared" si="4"/>
        <v>6717.5393135904505</v>
      </c>
      <c r="L36" s="15">
        <f t="shared" si="5"/>
        <v>150</v>
      </c>
      <c r="M36">
        <f t="shared" si="6"/>
        <v>2017.1984044995415</v>
      </c>
      <c r="N36" s="15">
        <f t="shared" si="7"/>
        <v>207</v>
      </c>
      <c r="O36">
        <f t="shared" si="8"/>
        <v>367.95598025711712</v>
      </c>
      <c r="P36" s="15">
        <f t="shared" si="9"/>
        <v>227</v>
      </c>
      <c r="Q36">
        <f t="shared" si="10"/>
        <v>-9115.1879591368233</v>
      </c>
      <c r="R36" s="15">
        <f t="shared" si="11"/>
        <v>342</v>
      </c>
      <c r="S36">
        <f t="shared" si="12"/>
        <v>4738.4484044995415</v>
      </c>
      <c r="T36" s="15">
        <f t="shared" si="13"/>
        <v>174</v>
      </c>
      <c r="U36">
        <f t="shared" si="14"/>
        <v>5233.2211317722686</v>
      </c>
      <c r="V36" s="15">
        <f t="shared" si="15"/>
        <v>168</v>
      </c>
      <c r="W36">
        <f t="shared" si="16"/>
        <v>6140.3044651056025</v>
      </c>
      <c r="X36" s="15">
        <f t="shared" si="17"/>
        <v>157</v>
      </c>
      <c r="Y36">
        <f t="shared" si="18"/>
        <v>-5074.5440197428834</v>
      </c>
      <c r="Z36" s="15">
        <f t="shared" si="19"/>
        <v>293</v>
      </c>
      <c r="AA36">
        <f t="shared" si="20"/>
        <v>7624.6226469237845</v>
      </c>
      <c r="AB36" s="15">
        <f t="shared" si="21"/>
        <v>139</v>
      </c>
      <c r="AC36">
        <f t="shared" si="22"/>
        <v>3666.440828741966</v>
      </c>
      <c r="AD36" s="15">
        <f t="shared" si="23"/>
        <v>187</v>
      </c>
      <c r="AE36" s="27">
        <f t="shared" si="24"/>
        <v>2841.8196166207535</v>
      </c>
      <c r="AF36" s="15">
        <f t="shared" si="25"/>
        <v>197</v>
      </c>
      <c r="AG36">
        <f t="shared" si="26"/>
        <v>7129.8499196510575</v>
      </c>
      <c r="AH36" s="15">
        <f t="shared" si="27"/>
        <v>145</v>
      </c>
      <c r="AI36">
        <f t="shared" si="28"/>
        <v>8944.0165863177244</v>
      </c>
      <c r="AJ36" s="15">
        <f t="shared" si="29"/>
        <v>123</v>
      </c>
    </row>
    <row r="37" spans="1:36" x14ac:dyDescent="0.25">
      <c r="A37" s="15">
        <v>2014</v>
      </c>
      <c r="B37" s="15">
        <v>12</v>
      </c>
      <c r="C37" s="15">
        <v>178</v>
      </c>
      <c r="D37" s="15">
        <v>231.46212121212122</v>
      </c>
      <c r="E37" s="15">
        <f>SUM(C26:C37)/COUNT(C26:C37)</f>
        <v>202.75</v>
      </c>
      <c r="F37" s="15">
        <f>(C37-C134)^2</f>
        <v>2858.1984044995415</v>
      </c>
      <c r="G37">
        <f t="shared" si="31"/>
        <v>4408.5999196510566</v>
      </c>
      <c r="H37" s="15">
        <f t="shared" si="32"/>
        <v>149</v>
      </c>
      <c r="I37">
        <f t="shared" si="30"/>
        <v>-2574.2575757575769</v>
      </c>
      <c r="J37" s="15">
        <f t="shared" si="33"/>
        <v>217</v>
      </c>
      <c r="K37">
        <f t="shared" ref="K37:K68" si="34">(C37-$C$134)*(L37-$C$134)</f>
        <v>3232.43325298439</v>
      </c>
      <c r="L37" s="15">
        <f t="shared" ref="L37:L68" si="35">J36</f>
        <v>171</v>
      </c>
      <c r="M37">
        <f t="shared" si="6"/>
        <v>4355.1377984389355</v>
      </c>
      <c r="N37" s="15">
        <f t="shared" si="7"/>
        <v>150</v>
      </c>
      <c r="O37">
        <f t="shared" si="8"/>
        <v>1307.7968893480261</v>
      </c>
      <c r="P37" s="15">
        <f t="shared" si="9"/>
        <v>207</v>
      </c>
      <c r="Q37">
        <f t="shared" si="10"/>
        <v>238.55446510560182</v>
      </c>
      <c r="R37" s="15">
        <f t="shared" si="11"/>
        <v>227</v>
      </c>
      <c r="S37">
        <f t="shared" si="12"/>
        <v>-5909.5894742883384</v>
      </c>
      <c r="T37" s="15">
        <f t="shared" si="13"/>
        <v>342</v>
      </c>
      <c r="U37">
        <f t="shared" si="14"/>
        <v>3072.0468893480265</v>
      </c>
      <c r="V37" s="15">
        <f t="shared" si="15"/>
        <v>174</v>
      </c>
      <c r="W37">
        <f t="shared" si="16"/>
        <v>3392.8196166207535</v>
      </c>
      <c r="X37" s="15">
        <f t="shared" si="17"/>
        <v>168</v>
      </c>
      <c r="Y37">
        <f t="shared" si="18"/>
        <v>3980.902949954087</v>
      </c>
      <c r="Z37" s="15">
        <f t="shared" si="19"/>
        <v>157</v>
      </c>
      <c r="AA37">
        <f t="shared" si="20"/>
        <v>-3289.9455348943984</v>
      </c>
      <c r="AB37" s="15">
        <f t="shared" si="21"/>
        <v>293</v>
      </c>
      <c r="AC37">
        <f t="shared" si="22"/>
        <v>4943.2211317722686</v>
      </c>
      <c r="AD37" s="15">
        <f t="shared" si="23"/>
        <v>139</v>
      </c>
      <c r="AE37" s="27">
        <f t="shared" si="24"/>
        <v>2377.0393135904505</v>
      </c>
      <c r="AF37" s="15">
        <f t="shared" si="25"/>
        <v>187</v>
      </c>
      <c r="AG37">
        <f t="shared" si="26"/>
        <v>1842.4181014692383</v>
      </c>
      <c r="AH37" s="15">
        <f t="shared" si="27"/>
        <v>197</v>
      </c>
      <c r="AI37">
        <f t="shared" si="28"/>
        <v>4622.4484044995415</v>
      </c>
      <c r="AJ37" s="15">
        <f t="shared" si="29"/>
        <v>145</v>
      </c>
    </row>
    <row r="38" spans="1:36" x14ac:dyDescent="0.25">
      <c r="A38" s="15"/>
      <c r="B38" s="15">
        <v>1</v>
      </c>
      <c r="C38" s="15">
        <v>223</v>
      </c>
      <c r="D38" s="15">
        <v>231.46212121212122</v>
      </c>
      <c r="E38" s="15">
        <v>222.33333333333334</v>
      </c>
      <c r="F38" s="15">
        <f>(C38-C134)^2</f>
        <v>71.607495408631877</v>
      </c>
      <c r="G38">
        <f t="shared" si="31"/>
        <v>452.40294995408669</v>
      </c>
      <c r="H38" s="15">
        <f t="shared" si="32"/>
        <v>178</v>
      </c>
      <c r="I38">
        <f t="shared" si="30"/>
        <v>-18389.053030303032</v>
      </c>
      <c r="J38" s="15">
        <f t="shared" si="33"/>
        <v>149</v>
      </c>
      <c r="K38">
        <f t="shared" si="34"/>
        <v>122.38022268135919</v>
      </c>
      <c r="L38" s="15">
        <f t="shared" si="35"/>
        <v>217</v>
      </c>
      <c r="M38">
        <f t="shared" ref="M38:M69" si="36">(C38-$C$134)*(N38-$C$134)</f>
        <v>511.63779843893519</v>
      </c>
      <c r="N38" s="15">
        <f t="shared" ref="N38:N69" si="37">L37</f>
        <v>171</v>
      </c>
      <c r="O38">
        <f t="shared" si="8"/>
        <v>689.3423438934808</v>
      </c>
      <c r="P38" s="15">
        <f t="shared" si="9"/>
        <v>150</v>
      </c>
      <c r="Q38">
        <f t="shared" si="10"/>
        <v>207.00143480257137</v>
      </c>
      <c r="R38" s="15">
        <f t="shared" si="11"/>
        <v>207</v>
      </c>
      <c r="S38">
        <f t="shared" si="12"/>
        <v>37.759010560147004</v>
      </c>
      <c r="T38" s="15">
        <f t="shared" si="13"/>
        <v>227</v>
      </c>
      <c r="U38">
        <f t="shared" si="14"/>
        <v>-935.38492883379308</v>
      </c>
      <c r="V38" s="15">
        <f t="shared" si="15"/>
        <v>342</v>
      </c>
      <c r="W38">
        <f t="shared" si="16"/>
        <v>486.25143480257157</v>
      </c>
      <c r="X38" s="15">
        <f t="shared" si="17"/>
        <v>174</v>
      </c>
      <c r="Y38">
        <f t="shared" si="18"/>
        <v>537.02416207529882</v>
      </c>
      <c r="Z38" s="15">
        <f t="shared" si="19"/>
        <v>168</v>
      </c>
      <c r="AA38">
        <f t="shared" si="20"/>
        <v>630.1074954086323</v>
      </c>
      <c r="AB38" s="15">
        <f t="shared" si="21"/>
        <v>157</v>
      </c>
      <c r="AC38">
        <f t="shared" si="22"/>
        <v>-520.74098943985337</v>
      </c>
      <c r="AD38" s="15">
        <f t="shared" si="23"/>
        <v>293</v>
      </c>
      <c r="AE38" s="27">
        <f t="shared" si="24"/>
        <v>782.42567722681417</v>
      </c>
      <c r="AF38" s="15">
        <f t="shared" si="25"/>
        <v>139</v>
      </c>
      <c r="AG38">
        <f t="shared" si="26"/>
        <v>376.2438590449957</v>
      </c>
      <c r="AH38" s="15">
        <f t="shared" si="27"/>
        <v>187</v>
      </c>
      <c r="AI38">
        <f t="shared" si="28"/>
        <v>291.62264692378352</v>
      </c>
      <c r="AJ38" s="15">
        <f t="shared" si="29"/>
        <v>197</v>
      </c>
    </row>
    <row r="39" spans="1:36" x14ac:dyDescent="0.25">
      <c r="A39" s="15"/>
      <c r="B39" s="15">
        <v>2</v>
      </c>
      <c r="C39" s="15">
        <v>159</v>
      </c>
      <c r="D39" s="15">
        <v>231.46212121212122</v>
      </c>
      <c r="E39" s="15">
        <v>222.33333333333334</v>
      </c>
      <c r="F39" s="15">
        <f>(C39-C134)^2</f>
        <v>5250.7590105601475</v>
      </c>
      <c r="G39">
        <f t="shared" si="31"/>
        <v>613.18325298438981</v>
      </c>
      <c r="H39" s="15">
        <f t="shared" si="32"/>
        <v>223</v>
      </c>
      <c r="I39">
        <f t="shared" si="30"/>
        <v>-8500.4772727272739</v>
      </c>
      <c r="J39" s="15">
        <f t="shared" si="33"/>
        <v>178</v>
      </c>
      <c r="K39">
        <f t="shared" si="34"/>
        <v>5975.3802226813596</v>
      </c>
      <c r="L39" s="15">
        <f t="shared" si="35"/>
        <v>149</v>
      </c>
      <c r="M39">
        <f t="shared" si="36"/>
        <v>1047.9559802571171</v>
      </c>
      <c r="N39" s="15">
        <f t="shared" si="37"/>
        <v>217</v>
      </c>
      <c r="O39">
        <f t="shared" ref="O39:O70" si="38">(C39-$C$134)*(P39-$C$134)</f>
        <v>4381.2135560146935</v>
      </c>
      <c r="P39" s="15">
        <f t="shared" ref="P39:P70" si="39">N38</f>
        <v>171</v>
      </c>
      <c r="Q39">
        <f t="shared" si="10"/>
        <v>5902.9181014692385</v>
      </c>
      <c r="R39" s="15">
        <f t="shared" si="11"/>
        <v>150</v>
      </c>
      <c r="S39">
        <f t="shared" si="12"/>
        <v>1772.5771923783293</v>
      </c>
      <c r="T39" s="15">
        <f t="shared" si="13"/>
        <v>207</v>
      </c>
      <c r="U39">
        <f t="shared" si="14"/>
        <v>323.33476813590494</v>
      </c>
      <c r="V39" s="15">
        <f t="shared" si="15"/>
        <v>227</v>
      </c>
      <c r="W39">
        <f t="shared" si="16"/>
        <v>-8009.8091712580353</v>
      </c>
      <c r="X39" s="15">
        <f t="shared" si="17"/>
        <v>342</v>
      </c>
      <c r="Y39">
        <f t="shared" si="18"/>
        <v>4163.8271923783295</v>
      </c>
      <c r="Z39" s="15">
        <f t="shared" si="19"/>
        <v>174</v>
      </c>
      <c r="AA39">
        <f t="shared" si="20"/>
        <v>4598.5999196510566</v>
      </c>
      <c r="AB39" s="15">
        <f t="shared" si="21"/>
        <v>168</v>
      </c>
      <c r="AC39">
        <f t="shared" si="22"/>
        <v>5395.6832529843905</v>
      </c>
      <c r="AD39" s="15">
        <f t="shared" si="23"/>
        <v>157</v>
      </c>
      <c r="AE39" s="27">
        <f t="shared" si="24"/>
        <v>-4459.1652318640954</v>
      </c>
      <c r="AF39" s="15">
        <f t="shared" si="25"/>
        <v>293</v>
      </c>
      <c r="AG39">
        <f t="shared" si="26"/>
        <v>6700.0014348025725</v>
      </c>
      <c r="AH39" s="15">
        <f t="shared" si="27"/>
        <v>139</v>
      </c>
      <c r="AI39">
        <f t="shared" si="28"/>
        <v>3221.8196166207535</v>
      </c>
      <c r="AJ39" s="15">
        <f t="shared" si="29"/>
        <v>187</v>
      </c>
    </row>
    <row r="40" spans="1:36" x14ac:dyDescent="0.25">
      <c r="A40" s="15"/>
      <c r="B40" s="15">
        <v>3</v>
      </c>
      <c r="C40" s="15">
        <v>310</v>
      </c>
      <c r="D40" s="15">
        <v>231.46212121212122</v>
      </c>
      <c r="E40" s="15">
        <v>222.33333333333334</v>
      </c>
      <c r="F40" s="15">
        <f>(C40-C134)^2</f>
        <v>6168.1984044995397</v>
      </c>
      <c r="G40">
        <f t="shared" si="31"/>
        <v>-5691.0212924701564</v>
      </c>
      <c r="H40" s="15">
        <f t="shared" si="32"/>
        <v>159</v>
      </c>
      <c r="I40">
        <f t="shared" si="30"/>
        <v>-2623.2575757575778</v>
      </c>
      <c r="J40" s="15">
        <f t="shared" si="33"/>
        <v>223</v>
      </c>
      <c r="K40">
        <f t="shared" si="34"/>
        <v>-4198.8015955004594</v>
      </c>
      <c r="L40" s="15">
        <f t="shared" si="35"/>
        <v>178</v>
      </c>
      <c r="M40">
        <f t="shared" si="36"/>
        <v>-6476.4000803489444</v>
      </c>
      <c r="N40" s="15">
        <f t="shared" si="37"/>
        <v>149</v>
      </c>
      <c r="O40">
        <f t="shared" si="38"/>
        <v>-1135.8243227731869</v>
      </c>
      <c r="P40" s="15">
        <f t="shared" si="39"/>
        <v>217</v>
      </c>
      <c r="Q40">
        <f t="shared" ref="Q40:Q71" si="40">(C40-$C$134)*(R40-$C$134)</f>
        <v>-4748.5667470156104</v>
      </c>
      <c r="R40" s="15">
        <f t="shared" ref="R40:R71" si="41">P39</f>
        <v>171</v>
      </c>
      <c r="S40">
        <f t="shared" si="12"/>
        <v>-6397.8622015610654</v>
      </c>
      <c r="T40" s="15">
        <f t="shared" si="13"/>
        <v>150</v>
      </c>
      <c r="U40">
        <f t="shared" si="14"/>
        <v>-1921.2031106519746</v>
      </c>
      <c r="V40" s="15">
        <f t="shared" si="15"/>
        <v>207</v>
      </c>
      <c r="W40">
        <f t="shared" si="16"/>
        <v>-350.44553489439897</v>
      </c>
      <c r="X40" s="15">
        <f t="shared" si="17"/>
        <v>227</v>
      </c>
      <c r="Y40">
        <f t="shared" si="18"/>
        <v>8681.4105257116607</v>
      </c>
      <c r="Z40" s="15">
        <f t="shared" si="19"/>
        <v>342</v>
      </c>
      <c r="AA40">
        <f t="shared" si="20"/>
        <v>-4512.9531106519744</v>
      </c>
      <c r="AB40" s="15">
        <f t="shared" si="21"/>
        <v>174</v>
      </c>
      <c r="AC40">
        <f t="shared" si="22"/>
        <v>-4984.1803833792474</v>
      </c>
      <c r="AD40" s="15">
        <f t="shared" si="23"/>
        <v>168</v>
      </c>
      <c r="AE40" s="27">
        <f t="shared" si="24"/>
        <v>-5848.0970500459134</v>
      </c>
      <c r="AF40" s="15">
        <f t="shared" si="25"/>
        <v>157</v>
      </c>
      <c r="AG40">
        <f t="shared" si="26"/>
        <v>4833.0544651056007</v>
      </c>
      <c r="AH40" s="15">
        <f t="shared" si="27"/>
        <v>293</v>
      </c>
      <c r="AI40">
        <f t="shared" si="28"/>
        <v>-7261.7788682277314</v>
      </c>
      <c r="AJ40" s="15">
        <f t="shared" si="29"/>
        <v>139</v>
      </c>
    </row>
    <row r="41" spans="1:36" x14ac:dyDescent="0.25">
      <c r="A41" s="15"/>
      <c r="B41" s="15">
        <v>4</v>
      </c>
      <c r="C41" s="15">
        <v>370</v>
      </c>
      <c r="D41" s="15">
        <v>231.46212121212122</v>
      </c>
      <c r="E41" s="15">
        <v>222.33333333333334</v>
      </c>
      <c r="F41" s="15">
        <f>(C41-C134)^2</f>
        <v>19192.743859044993</v>
      </c>
      <c r="G41">
        <f t="shared" si="31"/>
        <v>10880.471131772267</v>
      </c>
      <c r="H41" s="15">
        <f t="shared" si="32"/>
        <v>310</v>
      </c>
      <c r="I41">
        <f t="shared" si="30"/>
        <v>-26810.984848484852</v>
      </c>
      <c r="J41" s="15">
        <f t="shared" si="33"/>
        <v>159</v>
      </c>
      <c r="K41">
        <f t="shared" si="34"/>
        <v>-1172.3243227731873</v>
      </c>
      <c r="L41" s="15">
        <f t="shared" si="35"/>
        <v>223</v>
      </c>
      <c r="M41">
        <f t="shared" si="36"/>
        <v>-7406.5288682277323</v>
      </c>
      <c r="N41" s="15">
        <f t="shared" si="37"/>
        <v>178</v>
      </c>
      <c r="O41">
        <f t="shared" si="38"/>
        <v>-11424.127353076217</v>
      </c>
      <c r="P41" s="15">
        <f t="shared" si="39"/>
        <v>149</v>
      </c>
      <c r="Q41">
        <f t="shared" si="40"/>
        <v>-2003.5515955004598</v>
      </c>
      <c r="R41" s="15">
        <f t="shared" si="41"/>
        <v>217</v>
      </c>
      <c r="S41">
        <f t="shared" ref="S41:S72" si="42">(C41-$C$134)*(T41-$C$134)</f>
        <v>-8376.2940197428834</v>
      </c>
      <c r="T41" s="15">
        <f t="shared" ref="T41:T72" si="43">R40</f>
        <v>171</v>
      </c>
      <c r="U41">
        <f t="shared" si="14"/>
        <v>-11285.589474288337</v>
      </c>
      <c r="V41" s="15">
        <f t="shared" si="15"/>
        <v>150</v>
      </c>
      <c r="W41">
        <f t="shared" si="16"/>
        <v>-3388.9303833792478</v>
      </c>
      <c r="X41" s="15">
        <f t="shared" si="17"/>
        <v>207</v>
      </c>
      <c r="Y41">
        <f t="shared" si="18"/>
        <v>-618.17280762167206</v>
      </c>
      <c r="Z41" s="15">
        <f t="shared" si="19"/>
        <v>227</v>
      </c>
      <c r="AA41">
        <f t="shared" si="20"/>
        <v>15313.683252984389</v>
      </c>
      <c r="AB41" s="15">
        <f t="shared" si="21"/>
        <v>342</v>
      </c>
      <c r="AC41">
        <f t="shared" si="22"/>
        <v>-7960.6803833792474</v>
      </c>
      <c r="AD41" s="15">
        <f t="shared" si="23"/>
        <v>174</v>
      </c>
      <c r="AE41" s="27">
        <f t="shared" si="24"/>
        <v>-8791.9076561065194</v>
      </c>
      <c r="AF41" s="15">
        <f t="shared" si="25"/>
        <v>168</v>
      </c>
      <c r="AG41">
        <f t="shared" si="26"/>
        <v>-10315.824322773187</v>
      </c>
      <c r="AH41" s="15">
        <f t="shared" si="27"/>
        <v>157</v>
      </c>
      <c r="AI41">
        <f t="shared" si="28"/>
        <v>8525.3271923783268</v>
      </c>
      <c r="AJ41" s="15">
        <f t="shared" si="29"/>
        <v>293</v>
      </c>
    </row>
    <row r="42" spans="1:36" x14ac:dyDescent="0.25">
      <c r="A42" s="15"/>
      <c r="B42" s="15">
        <v>5</v>
      </c>
      <c r="C42" s="15">
        <v>282</v>
      </c>
      <c r="D42" s="15">
        <v>231.46212121212122</v>
      </c>
      <c r="E42" s="15">
        <v>222.33333333333334</v>
      </c>
      <c r="F42" s="15">
        <f>(C42-C134)^2</f>
        <v>2554.0771923783282</v>
      </c>
      <c r="G42">
        <f t="shared" si="31"/>
        <v>7001.4105257116607</v>
      </c>
      <c r="H42" s="15">
        <f t="shared" si="32"/>
        <v>370</v>
      </c>
      <c r="I42">
        <f t="shared" si="30"/>
        <v>22147.681818181816</v>
      </c>
      <c r="J42" s="15">
        <f t="shared" si="33"/>
        <v>310</v>
      </c>
      <c r="K42">
        <f t="shared" si="34"/>
        <v>-3662.0818985307619</v>
      </c>
      <c r="L42" s="15">
        <f t="shared" si="35"/>
        <v>159</v>
      </c>
      <c r="M42">
        <f t="shared" si="36"/>
        <v>-427.65765610651999</v>
      </c>
      <c r="N42" s="15">
        <f t="shared" si="37"/>
        <v>223</v>
      </c>
      <c r="O42">
        <f t="shared" si="38"/>
        <v>-2701.8622015610654</v>
      </c>
      <c r="P42" s="15">
        <f t="shared" si="39"/>
        <v>178</v>
      </c>
      <c r="Q42">
        <f t="shared" si="40"/>
        <v>-4167.4606864095495</v>
      </c>
      <c r="R42" s="15">
        <f t="shared" si="41"/>
        <v>149</v>
      </c>
      <c r="S42">
        <f t="shared" si="42"/>
        <v>-730.88492883379274</v>
      </c>
      <c r="T42" s="15">
        <f t="shared" si="43"/>
        <v>217</v>
      </c>
      <c r="U42">
        <f t="shared" ref="U42:U73" si="44">(C42-$C$134)*(V42-$C$134)</f>
        <v>-3055.6273530762169</v>
      </c>
      <c r="V42" s="15">
        <f t="shared" ref="V42:V73" si="45">T41</f>
        <v>171</v>
      </c>
      <c r="W42">
        <f t="shared" si="16"/>
        <v>-4116.9228076216714</v>
      </c>
      <c r="X42" s="15">
        <f t="shared" si="17"/>
        <v>150</v>
      </c>
      <c r="Y42">
        <f t="shared" si="18"/>
        <v>-1236.2637167125806</v>
      </c>
      <c r="Z42" s="15">
        <f t="shared" si="19"/>
        <v>207</v>
      </c>
      <c r="AA42">
        <f t="shared" si="20"/>
        <v>-225.50614095500487</v>
      </c>
      <c r="AB42" s="15">
        <f t="shared" si="21"/>
        <v>227</v>
      </c>
      <c r="AC42">
        <f t="shared" si="22"/>
        <v>5586.3499196510547</v>
      </c>
      <c r="AD42" s="15">
        <f t="shared" si="23"/>
        <v>342</v>
      </c>
      <c r="AE42" s="27">
        <f t="shared" si="24"/>
        <v>-2904.0137167125804</v>
      </c>
      <c r="AF42" s="15">
        <f t="shared" si="25"/>
        <v>174</v>
      </c>
      <c r="AG42">
        <f t="shared" si="26"/>
        <v>-3207.2409894398529</v>
      </c>
      <c r="AH42" s="15">
        <f t="shared" si="27"/>
        <v>168</v>
      </c>
      <c r="AI42">
        <f t="shared" si="28"/>
        <v>-3763.1576561065194</v>
      </c>
      <c r="AJ42" s="15">
        <f t="shared" si="29"/>
        <v>157</v>
      </c>
    </row>
    <row r="43" spans="1:36" x14ac:dyDescent="0.25">
      <c r="A43" s="15"/>
      <c r="B43" s="15">
        <v>6</v>
      </c>
      <c r="C43" s="15">
        <v>225</v>
      </c>
      <c r="D43" s="15">
        <v>231.46212121212122</v>
      </c>
      <c r="E43" s="15">
        <v>222.33333333333334</v>
      </c>
      <c r="F43" s="15">
        <f>(C43-C134)^2</f>
        <v>41.759010560147004</v>
      </c>
      <c r="G43">
        <f t="shared" si="31"/>
        <v>-326.58189853076243</v>
      </c>
      <c r="H43" s="15">
        <f t="shared" si="32"/>
        <v>282</v>
      </c>
      <c r="I43">
        <f t="shared" si="30"/>
        <v>31171.022727272724</v>
      </c>
      <c r="J43" s="15">
        <f t="shared" si="33"/>
        <v>370</v>
      </c>
      <c r="K43">
        <f t="shared" si="34"/>
        <v>-507.52129247015654</v>
      </c>
      <c r="L43" s="15">
        <f t="shared" si="35"/>
        <v>310</v>
      </c>
      <c r="M43">
        <f t="shared" si="36"/>
        <v>468.25901056014737</v>
      </c>
      <c r="N43" s="15">
        <f t="shared" si="37"/>
        <v>159</v>
      </c>
      <c r="O43">
        <f t="shared" si="38"/>
        <v>54.683252984389441</v>
      </c>
      <c r="P43" s="15">
        <f t="shared" si="39"/>
        <v>223</v>
      </c>
      <c r="Q43">
        <f t="shared" si="40"/>
        <v>345.47870752984426</v>
      </c>
      <c r="R43" s="15">
        <f t="shared" si="41"/>
        <v>178</v>
      </c>
      <c r="S43">
        <f t="shared" si="42"/>
        <v>532.88022268135956</v>
      </c>
      <c r="T43" s="15">
        <f t="shared" si="43"/>
        <v>149</v>
      </c>
      <c r="U43">
        <f t="shared" si="44"/>
        <v>93.455980257116749</v>
      </c>
      <c r="V43" s="15">
        <f t="shared" si="45"/>
        <v>217</v>
      </c>
      <c r="W43">
        <f t="shared" ref="W43:W74" si="46">(C43-$C$134)*(X43-$C$134)</f>
        <v>390.71355601469276</v>
      </c>
      <c r="X43" s="15">
        <f t="shared" ref="X43:X74" si="47">V42</f>
        <v>171</v>
      </c>
      <c r="Y43">
        <f t="shared" si="18"/>
        <v>526.41810146923831</v>
      </c>
      <c r="Z43" s="15">
        <f t="shared" si="19"/>
        <v>150</v>
      </c>
      <c r="AA43">
        <f t="shared" si="20"/>
        <v>158.07719237832893</v>
      </c>
      <c r="AB43" s="15">
        <f t="shared" si="21"/>
        <v>207</v>
      </c>
      <c r="AC43">
        <f t="shared" si="22"/>
        <v>28.834768135904564</v>
      </c>
      <c r="AD43" s="15">
        <f t="shared" si="23"/>
        <v>227</v>
      </c>
      <c r="AE43" s="27">
        <f t="shared" si="24"/>
        <v>-714.30917125803558</v>
      </c>
      <c r="AF43" s="15">
        <f t="shared" si="25"/>
        <v>342</v>
      </c>
      <c r="AG43">
        <f t="shared" si="26"/>
        <v>371.32719237832913</v>
      </c>
      <c r="AH43" s="15">
        <f t="shared" si="27"/>
        <v>174</v>
      </c>
      <c r="AI43">
        <f t="shared" si="28"/>
        <v>410.09991965105644</v>
      </c>
      <c r="AJ43" s="15">
        <f t="shared" si="29"/>
        <v>168</v>
      </c>
    </row>
    <row r="44" spans="1:36" x14ac:dyDescent="0.25">
      <c r="A44" s="15"/>
      <c r="B44" s="15">
        <v>7</v>
      </c>
      <c r="C44" s="15">
        <v>216</v>
      </c>
      <c r="D44" s="15">
        <v>231.46212121212122</v>
      </c>
      <c r="E44" s="15">
        <v>222.33333333333334</v>
      </c>
      <c r="F44" s="15">
        <f>(C44-C134)^2</f>
        <v>239.07719237832893</v>
      </c>
      <c r="G44">
        <f t="shared" si="31"/>
        <v>99.918101469237968</v>
      </c>
      <c r="H44" s="15">
        <f t="shared" si="32"/>
        <v>225</v>
      </c>
      <c r="I44">
        <f t="shared" si="30"/>
        <v>10916.181818181816</v>
      </c>
      <c r="J44" s="15">
        <f t="shared" si="33"/>
        <v>282</v>
      </c>
      <c r="K44">
        <f t="shared" si="34"/>
        <v>-2142.0894742883388</v>
      </c>
      <c r="L44" s="15">
        <f t="shared" si="35"/>
        <v>370</v>
      </c>
      <c r="M44">
        <f t="shared" si="36"/>
        <v>-1214.3622015610656</v>
      </c>
      <c r="N44" s="15">
        <f t="shared" si="37"/>
        <v>310</v>
      </c>
      <c r="O44">
        <f t="shared" si="38"/>
        <v>1120.4181014692383</v>
      </c>
      <c r="P44" s="15">
        <f t="shared" si="39"/>
        <v>159</v>
      </c>
      <c r="Q44">
        <f t="shared" si="40"/>
        <v>130.8423438934804</v>
      </c>
      <c r="R44" s="15">
        <f t="shared" si="41"/>
        <v>223</v>
      </c>
      <c r="S44">
        <f t="shared" si="42"/>
        <v>826.63779843893519</v>
      </c>
      <c r="T44" s="15">
        <f t="shared" si="43"/>
        <v>178</v>
      </c>
      <c r="U44">
        <f t="shared" si="44"/>
        <v>1275.0393135904505</v>
      </c>
      <c r="V44" s="15">
        <f t="shared" si="45"/>
        <v>149</v>
      </c>
      <c r="W44">
        <f t="shared" si="46"/>
        <v>223.61507116620771</v>
      </c>
      <c r="X44" s="15">
        <f t="shared" si="47"/>
        <v>217</v>
      </c>
      <c r="Y44">
        <f t="shared" ref="Y44:Y75" si="48">(C44-$C$134)*(Z44-$C$134)</f>
        <v>934.87264692378369</v>
      </c>
      <c r="Z44" s="15">
        <f t="shared" ref="Z44:Z75" si="49">X43</f>
        <v>171</v>
      </c>
      <c r="AA44">
        <f t="shared" si="20"/>
        <v>1259.5771923783293</v>
      </c>
      <c r="AB44" s="15">
        <f t="shared" si="21"/>
        <v>150</v>
      </c>
      <c r="AC44">
        <f t="shared" si="22"/>
        <v>378.23628328741989</v>
      </c>
      <c r="AD44" s="15">
        <f t="shared" si="23"/>
        <v>207</v>
      </c>
      <c r="AE44" s="27">
        <f t="shared" si="24"/>
        <v>68.993859044995531</v>
      </c>
      <c r="AF44" s="15">
        <f t="shared" si="25"/>
        <v>227</v>
      </c>
      <c r="AG44">
        <f t="shared" si="26"/>
        <v>-1709.1500803489446</v>
      </c>
      <c r="AH44" s="15">
        <f t="shared" si="27"/>
        <v>342</v>
      </c>
      <c r="AI44">
        <f t="shared" si="28"/>
        <v>888.48628328742006</v>
      </c>
      <c r="AJ44" s="15">
        <f t="shared" si="29"/>
        <v>174</v>
      </c>
    </row>
    <row r="45" spans="1:36" x14ac:dyDescent="0.25">
      <c r="A45" s="15"/>
      <c r="B45" s="15">
        <v>8</v>
      </c>
      <c r="C45" s="15">
        <v>130</v>
      </c>
      <c r="D45" s="15">
        <v>231.46212121212122</v>
      </c>
      <c r="E45" s="15">
        <v>222.33333333333334</v>
      </c>
      <c r="F45" s="15">
        <f>(C45-C134)^2</f>
        <v>10294.562040863178</v>
      </c>
      <c r="G45">
        <f t="shared" si="31"/>
        <v>1568.8196166207538</v>
      </c>
      <c r="H45" s="15">
        <f t="shared" si="32"/>
        <v>216</v>
      </c>
      <c r="I45">
        <f t="shared" si="30"/>
        <v>-840.07575757575842</v>
      </c>
      <c r="J45" s="15">
        <f t="shared" si="33"/>
        <v>225</v>
      </c>
      <c r="K45">
        <f t="shared" si="34"/>
        <v>-5127.6803833792465</v>
      </c>
      <c r="L45" s="15">
        <f t="shared" si="35"/>
        <v>282</v>
      </c>
      <c r="M45">
        <f t="shared" si="36"/>
        <v>-14056.347050045913</v>
      </c>
      <c r="N45" s="15">
        <f t="shared" si="37"/>
        <v>370</v>
      </c>
      <c r="O45">
        <f t="shared" si="38"/>
        <v>-7968.6197773186404</v>
      </c>
      <c r="P45" s="15">
        <f t="shared" si="39"/>
        <v>310</v>
      </c>
      <c r="Q45">
        <f t="shared" si="40"/>
        <v>7352.1605257116635</v>
      </c>
      <c r="R45" s="15">
        <f t="shared" si="41"/>
        <v>159</v>
      </c>
      <c r="S45">
        <f t="shared" si="42"/>
        <v>858.58476813590516</v>
      </c>
      <c r="T45" s="15">
        <f t="shared" si="43"/>
        <v>223</v>
      </c>
      <c r="U45">
        <f t="shared" si="44"/>
        <v>5424.3802226813596</v>
      </c>
      <c r="V45" s="15">
        <f t="shared" si="45"/>
        <v>178</v>
      </c>
      <c r="W45">
        <f t="shared" si="46"/>
        <v>8366.7817378328746</v>
      </c>
      <c r="X45" s="15">
        <f t="shared" si="47"/>
        <v>149</v>
      </c>
      <c r="Y45">
        <f t="shared" si="48"/>
        <v>1467.3574954086325</v>
      </c>
      <c r="Z45" s="15">
        <f t="shared" si="49"/>
        <v>217</v>
      </c>
      <c r="AA45">
        <f t="shared" ref="AA45:AA76" si="50">(C45-$C$134)*(AB45-$C$134)</f>
        <v>6134.6150711662085</v>
      </c>
      <c r="AB45" s="15">
        <f t="shared" ref="AB45:AB76" si="51">Z44</f>
        <v>171</v>
      </c>
      <c r="AC45">
        <f t="shared" si="22"/>
        <v>8265.3196166207545</v>
      </c>
      <c r="AD45" s="15">
        <f t="shared" si="23"/>
        <v>150</v>
      </c>
      <c r="AE45" s="27">
        <f t="shared" si="24"/>
        <v>2481.9787075298445</v>
      </c>
      <c r="AF45" s="15">
        <f t="shared" si="25"/>
        <v>207</v>
      </c>
      <c r="AG45">
        <f t="shared" si="26"/>
        <v>452.73628328742029</v>
      </c>
      <c r="AH45" s="15">
        <f t="shared" si="27"/>
        <v>227</v>
      </c>
      <c r="AI45">
        <f t="shared" si="28"/>
        <v>-11215.407656106519</v>
      </c>
      <c r="AJ45" s="15">
        <f t="shared" si="29"/>
        <v>342</v>
      </c>
    </row>
    <row r="46" spans="1:36" x14ac:dyDescent="0.25">
      <c r="A46" s="15"/>
      <c r="B46" s="15">
        <v>9</v>
      </c>
      <c r="C46" s="15">
        <v>206</v>
      </c>
      <c r="D46" s="15">
        <v>231.46212121212122</v>
      </c>
      <c r="E46" s="15">
        <v>222.33333333333334</v>
      </c>
      <c r="F46" s="15">
        <f>(C46-C134)^2</f>
        <v>648.31961662075332</v>
      </c>
      <c r="G46">
        <f t="shared" si="31"/>
        <v>2583.440828741966</v>
      </c>
      <c r="H46" s="15">
        <f t="shared" si="32"/>
        <v>130</v>
      </c>
      <c r="I46">
        <f t="shared" si="30"/>
        <v>-3185.1969696969709</v>
      </c>
      <c r="J46" s="15">
        <f t="shared" si="33"/>
        <v>216</v>
      </c>
      <c r="K46">
        <f t="shared" si="34"/>
        <v>164.53931359045015</v>
      </c>
      <c r="L46" s="15">
        <f t="shared" si="35"/>
        <v>225</v>
      </c>
      <c r="M46">
        <f t="shared" si="36"/>
        <v>-1286.8015955004594</v>
      </c>
      <c r="N46" s="15">
        <f t="shared" si="37"/>
        <v>282</v>
      </c>
      <c r="O46">
        <f t="shared" si="38"/>
        <v>-3527.4682621671263</v>
      </c>
      <c r="P46" s="15">
        <f t="shared" si="39"/>
        <v>370</v>
      </c>
      <c r="Q46">
        <f t="shared" si="40"/>
        <v>-1999.7409894398534</v>
      </c>
      <c r="R46" s="15">
        <f t="shared" si="41"/>
        <v>310</v>
      </c>
      <c r="S46">
        <f t="shared" si="42"/>
        <v>1845.0393135904505</v>
      </c>
      <c r="T46" s="15">
        <f t="shared" si="43"/>
        <v>159</v>
      </c>
      <c r="U46">
        <f t="shared" si="44"/>
        <v>215.46355601469259</v>
      </c>
      <c r="V46" s="15">
        <f t="shared" si="45"/>
        <v>223</v>
      </c>
      <c r="W46">
        <f t="shared" si="46"/>
        <v>1361.2590105601473</v>
      </c>
      <c r="X46" s="15">
        <f t="shared" si="47"/>
        <v>178</v>
      </c>
      <c r="Y46">
        <f t="shared" si="48"/>
        <v>2099.6605257116626</v>
      </c>
      <c r="Z46" s="15">
        <f t="shared" si="49"/>
        <v>149</v>
      </c>
      <c r="AA46">
        <f t="shared" si="50"/>
        <v>368.23628328741989</v>
      </c>
      <c r="AB46" s="15">
        <f t="shared" si="51"/>
        <v>217</v>
      </c>
      <c r="AC46">
        <f t="shared" ref="AC46:AC77" si="52">(C46-$C$134)*(AD46-$C$134)</f>
        <v>1539.4938590449958</v>
      </c>
      <c r="AD46" s="15">
        <f t="shared" ref="AD46:AD77" si="53">AB45</f>
        <v>171</v>
      </c>
      <c r="AE46" s="27">
        <f t="shared" si="24"/>
        <v>2074.1984044995415</v>
      </c>
      <c r="AF46" s="15">
        <f t="shared" si="25"/>
        <v>150</v>
      </c>
      <c r="AG46">
        <f t="shared" si="26"/>
        <v>622.85749540863208</v>
      </c>
      <c r="AH46" s="15">
        <f t="shared" si="27"/>
        <v>207</v>
      </c>
      <c r="AI46">
        <f t="shared" si="28"/>
        <v>113.61507116620771</v>
      </c>
      <c r="AJ46" s="15">
        <f t="shared" si="29"/>
        <v>227</v>
      </c>
    </row>
    <row r="47" spans="1:36" x14ac:dyDescent="0.25">
      <c r="A47" s="15"/>
      <c r="B47" s="15">
        <v>10</v>
      </c>
      <c r="C47" s="15">
        <v>147</v>
      </c>
      <c r="D47" s="15">
        <v>231.46212121212122</v>
      </c>
      <c r="E47" s="15">
        <v>222.33333333333334</v>
      </c>
      <c r="F47" s="15">
        <f>(C47-C134)^2</f>
        <v>7133.8499196510575</v>
      </c>
      <c r="G47">
        <f t="shared" si="31"/>
        <v>2150.5847681359051</v>
      </c>
      <c r="H47" s="15">
        <f t="shared" si="32"/>
        <v>206</v>
      </c>
      <c r="I47">
        <f t="shared" si="30"/>
        <v>-14914.93181818182</v>
      </c>
      <c r="J47" s="15">
        <f t="shared" si="33"/>
        <v>130</v>
      </c>
      <c r="K47">
        <f t="shared" si="34"/>
        <v>1305.963556014693</v>
      </c>
      <c r="L47" s="15">
        <f t="shared" si="35"/>
        <v>216</v>
      </c>
      <c r="M47">
        <f t="shared" si="36"/>
        <v>545.80446510560205</v>
      </c>
      <c r="N47" s="15">
        <f t="shared" si="37"/>
        <v>225</v>
      </c>
      <c r="O47">
        <f t="shared" si="38"/>
        <v>-4268.5364439853074</v>
      </c>
      <c r="P47" s="15">
        <f t="shared" si="39"/>
        <v>282</v>
      </c>
      <c r="Q47">
        <f t="shared" si="40"/>
        <v>-11701.203110651975</v>
      </c>
      <c r="R47" s="15">
        <f t="shared" si="41"/>
        <v>370</v>
      </c>
      <c r="S47">
        <f t="shared" si="42"/>
        <v>-6633.4758379247014</v>
      </c>
      <c r="T47" s="15">
        <f t="shared" si="43"/>
        <v>310</v>
      </c>
      <c r="U47">
        <f t="shared" si="44"/>
        <v>6120.3044651056025</v>
      </c>
      <c r="V47" s="15">
        <f t="shared" si="45"/>
        <v>159</v>
      </c>
      <c r="W47">
        <f t="shared" si="46"/>
        <v>714.72870752984443</v>
      </c>
      <c r="X47" s="15">
        <f t="shared" si="47"/>
        <v>223</v>
      </c>
      <c r="Y47">
        <f t="shared" si="48"/>
        <v>4515.5241620752995</v>
      </c>
      <c r="Z47" s="15">
        <f t="shared" si="49"/>
        <v>178</v>
      </c>
      <c r="AA47">
        <f t="shared" si="50"/>
        <v>6964.9256772268145</v>
      </c>
      <c r="AB47" s="15">
        <f t="shared" si="51"/>
        <v>149</v>
      </c>
      <c r="AC47">
        <f t="shared" si="52"/>
        <v>1221.5014348025718</v>
      </c>
      <c r="AD47" s="15">
        <f t="shared" si="53"/>
        <v>217</v>
      </c>
      <c r="AE47" s="27">
        <f t="shared" ref="AE47:AE78" si="54">(C47-$C$134)*(AF47-$C$134)</f>
        <v>5106.7590105601475</v>
      </c>
      <c r="AF47" s="15">
        <f t="shared" ref="AF47:AF78" si="55">AD46</f>
        <v>171</v>
      </c>
      <c r="AG47">
        <f t="shared" si="26"/>
        <v>6880.4635560146935</v>
      </c>
      <c r="AH47" s="15">
        <f t="shared" si="27"/>
        <v>150</v>
      </c>
      <c r="AI47">
        <f t="shared" si="28"/>
        <v>2066.122646923784</v>
      </c>
      <c r="AJ47" s="15">
        <f t="shared" si="29"/>
        <v>207</v>
      </c>
    </row>
    <row r="48" spans="1:36" x14ac:dyDescent="0.25">
      <c r="A48" s="15"/>
      <c r="B48" s="15">
        <v>11</v>
      </c>
      <c r="C48" s="15">
        <v>197</v>
      </c>
      <c r="D48" s="15">
        <v>231.46212121212122</v>
      </c>
      <c r="E48" s="15">
        <v>222.33333333333334</v>
      </c>
      <c r="F48" s="15">
        <f>(C48-C134)^2</f>
        <v>1187.6377984389353</v>
      </c>
      <c r="G48">
        <f t="shared" si="31"/>
        <v>2910.743859044996</v>
      </c>
      <c r="H48" s="15">
        <f t="shared" si="32"/>
        <v>147</v>
      </c>
      <c r="I48">
        <f t="shared" si="30"/>
        <v>-5016.0378787878799</v>
      </c>
      <c r="J48" s="15">
        <f t="shared" si="33"/>
        <v>206</v>
      </c>
      <c r="K48">
        <f t="shared" si="34"/>
        <v>3496.599919651057</v>
      </c>
      <c r="L48" s="15">
        <f t="shared" si="35"/>
        <v>130</v>
      </c>
      <c r="M48">
        <f t="shared" si="36"/>
        <v>532.85749540863208</v>
      </c>
      <c r="N48" s="15">
        <f t="shared" si="37"/>
        <v>216</v>
      </c>
      <c r="O48">
        <f t="shared" si="38"/>
        <v>222.69840449954111</v>
      </c>
      <c r="P48" s="15">
        <f t="shared" si="39"/>
        <v>225</v>
      </c>
      <c r="Q48">
        <f t="shared" si="40"/>
        <v>-1741.6425045913684</v>
      </c>
      <c r="R48" s="15">
        <f t="shared" si="41"/>
        <v>282</v>
      </c>
      <c r="S48">
        <f t="shared" si="42"/>
        <v>-4774.3091712580353</v>
      </c>
      <c r="T48" s="15">
        <f t="shared" si="43"/>
        <v>370</v>
      </c>
      <c r="U48">
        <f t="shared" si="44"/>
        <v>-2706.5818985307624</v>
      </c>
      <c r="V48" s="15">
        <f t="shared" si="45"/>
        <v>310</v>
      </c>
      <c r="W48">
        <f t="shared" si="46"/>
        <v>2497.1984044995415</v>
      </c>
      <c r="X48" s="15">
        <f t="shared" si="47"/>
        <v>159</v>
      </c>
      <c r="Y48">
        <f t="shared" si="48"/>
        <v>291.62264692378352</v>
      </c>
      <c r="Z48" s="15">
        <f t="shared" si="49"/>
        <v>223</v>
      </c>
      <c r="AA48">
        <f t="shared" si="50"/>
        <v>1842.4181014692383</v>
      </c>
      <c r="AB48" s="15">
        <f t="shared" si="51"/>
        <v>178</v>
      </c>
      <c r="AC48">
        <f t="shared" si="52"/>
        <v>2841.8196166207535</v>
      </c>
      <c r="AD48" s="15">
        <f t="shared" si="53"/>
        <v>149</v>
      </c>
      <c r="AE48" s="27">
        <f t="shared" si="54"/>
        <v>498.39537419651083</v>
      </c>
      <c r="AF48" s="15">
        <f t="shared" si="55"/>
        <v>217</v>
      </c>
      <c r="AG48">
        <f t="shared" ref="AG48:AG79" si="56">(C48-$C$134)*(AH48-$C$134)</f>
        <v>2083.652949954087</v>
      </c>
      <c r="AH48" s="15">
        <f t="shared" ref="AH48:AH79" si="57">AF47</f>
        <v>171</v>
      </c>
      <c r="AI48">
        <f t="shared" si="28"/>
        <v>2807.3574954086325</v>
      </c>
      <c r="AJ48" s="15">
        <f t="shared" si="29"/>
        <v>150</v>
      </c>
    </row>
    <row r="49" spans="1:36" x14ac:dyDescent="0.25">
      <c r="A49" s="15">
        <v>2015</v>
      </c>
      <c r="B49" s="15">
        <v>12</v>
      </c>
      <c r="C49" s="15">
        <v>203</v>
      </c>
      <c r="D49" s="15">
        <v>231.46212121212122</v>
      </c>
      <c r="E49" s="15">
        <f>SUM(C38:C49)/COUNT(C38:C49)</f>
        <v>222.33333333333334</v>
      </c>
      <c r="F49" s="15">
        <f>(C49-C134)^2</f>
        <v>810.09234389348057</v>
      </c>
      <c r="G49">
        <f t="shared" si="31"/>
        <v>980.86507116620794</v>
      </c>
      <c r="H49" s="15">
        <f t="shared" si="32"/>
        <v>197</v>
      </c>
      <c r="I49">
        <f t="shared" si="30"/>
        <v>-17145.810606060608</v>
      </c>
      <c r="J49" s="15">
        <f t="shared" si="33"/>
        <v>147</v>
      </c>
      <c r="K49">
        <f t="shared" si="34"/>
        <v>724.70598025711695</v>
      </c>
      <c r="L49" s="15">
        <f t="shared" si="35"/>
        <v>206</v>
      </c>
      <c r="M49">
        <f t="shared" si="36"/>
        <v>2887.8271923783295</v>
      </c>
      <c r="N49" s="15">
        <f t="shared" si="37"/>
        <v>130</v>
      </c>
      <c r="O49">
        <f t="shared" si="38"/>
        <v>440.08476813590477</v>
      </c>
      <c r="P49" s="15">
        <f t="shared" si="39"/>
        <v>216</v>
      </c>
      <c r="Q49">
        <f t="shared" si="40"/>
        <v>183.9256772268138</v>
      </c>
      <c r="R49" s="15">
        <f t="shared" si="41"/>
        <v>225</v>
      </c>
      <c r="S49">
        <f t="shared" si="42"/>
        <v>-1438.4152318640956</v>
      </c>
      <c r="T49" s="15">
        <f t="shared" si="43"/>
        <v>282</v>
      </c>
      <c r="U49">
        <f t="shared" si="44"/>
        <v>-3943.0818985307628</v>
      </c>
      <c r="V49" s="15">
        <f t="shared" si="45"/>
        <v>370</v>
      </c>
      <c r="W49">
        <f t="shared" si="46"/>
        <v>-2235.3546258034899</v>
      </c>
      <c r="X49" s="15">
        <f t="shared" si="47"/>
        <v>310</v>
      </c>
      <c r="Y49">
        <f t="shared" si="48"/>
        <v>2062.4256772268141</v>
      </c>
      <c r="Z49" s="15">
        <f t="shared" si="49"/>
        <v>159</v>
      </c>
      <c r="AA49">
        <f t="shared" si="50"/>
        <v>240.84991965105624</v>
      </c>
      <c r="AB49" s="15">
        <f t="shared" si="51"/>
        <v>223</v>
      </c>
      <c r="AC49">
        <f t="shared" si="52"/>
        <v>1521.6453741965111</v>
      </c>
      <c r="AD49" s="15">
        <f t="shared" si="53"/>
        <v>178</v>
      </c>
      <c r="AE49" s="27">
        <f t="shared" si="54"/>
        <v>2347.0468893480265</v>
      </c>
      <c r="AF49" s="15">
        <f t="shared" si="55"/>
        <v>149</v>
      </c>
      <c r="AG49">
        <f t="shared" si="56"/>
        <v>411.62264692378352</v>
      </c>
      <c r="AH49" s="15">
        <f t="shared" si="57"/>
        <v>217</v>
      </c>
      <c r="AI49">
        <f t="shared" ref="AI49:AI80" si="58">(C49-$C$134)*(AJ49-$C$134)</f>
        <v>1720.8802226813596</v>
      </c>
      <c r="AJ49" s="15">
        <f t="shared" ref="AJ49:AJ80" si="59">AH48</f>
        <v>171</v>
      </c>
    </row>
    <row r="50" spans="1:36" x14ac:dyDescent="0.25">
      <c r="A50" s="15"/>
      <c r="B50" s="15">
        <v>1</v>
      </c>
      <c r="C50" s="15">
        <v>160</v>
      </c>
      <c r="D50" s="15">
        <v>231.46212121212122</v>
      </c>
      <c r="E50" s="15">
        <v>218.16666666666666</v>
      </c>
      <c r="F50" s="15">
        <f>(C50-C134)^2</f>
        <v>5106.8347681359055</v>
      </c>
      <c r="G50">
        <f t="shared" si="31"/>
        <v>2033.963556014693</v>
      </c>
      <c r="H50" s="15">
        <f t="shared" si="32"/>
        <v>203</v>
      </c>
      <c r="I50">
        <f t="shared" si="30"/>
        <v>-5513.9393939393949</v>
      </c>
      <c r="J50" s="15">
        <f t="shared" si="33"/>
        <v>197</v>
      </c>
      <c r="K50">
        <f t="shared" si="34"/>
        <v>6035.8423438934815</v>
      </c>
      <c r="L50" s="15">
        <f t="shared" si="35"/>
        <v>147</v>
      </c>
      <c r="M50">
        <f t="shared" si="36"/>
        <v>1819.5771923783293</v>
      </c>
      <c r="N50" s="15">
        <f t="shared" si="37"/>
        <v>206</v>
      </c>
      <c r="O50">
        <f t="shared" si="38"/>
        <v>7250.6984044995415</v>
      </c>
      <c r="P50" s="15">
        <f t="shared" si="39"/>
        <v>130</v>
      </c>
      <c r="Q50">
        <f t="shared" si="40"/>
        <v>1104.9559802571171</v>
      </c>
      <c r="R50" s="15">
        <f t="shared" si="41"/>
        <v>216</v>
      </c>
      <c r="S50">
        <f t="shared" si="42"/>
        <v>461.79688934802618</v>
      </c>
      <c r="T50" s="15">
        <f t="shared" si="43"/>
        <v>225</v>
      </c>
      <c r="U50">
        <f t="shared" si="44"/>
        <v>-3611.5440197428834</v>
      </c>
      <c r="V50" s="15">
        <f t="shared" si="45"/>
        <v>282</v>
      </c>
      <c r="W50">
        <f t="shared" si="46"/>
        <v>-9900.2106864095513</v>
      </c>
      <c r="X50" s="15">
        <f t="shared" si="47"/>
        <v>370</v>
      </c>
      <c r="Y50">
        <f t="shared" si="48"/>
        <v>-5612.4834136822774</v>
      </c>
      <c r="Z50" s="15">
        <f t="shared" si="49"/>
        <v>310</v>
      </c>
      <c r="AA50">
        <f t="shared" si="50"/>
        <v>5178.2968893480265</v>
      </c>
      <c r="AB50" s="15">
        <f t="shared" si="51"/>
        <v>159</v>
      </c>
      <c r="AC50">
        <f t="shared" si="52"/>
        <v>604.72113177226856</v>
      </c>
      <c r="AD50" s="15">
        <f t="shared" si="53"/>
        <v>223</v>
      </c>
      <c r="AE50" s="27">
        <f t="shared" si="54"/>
        <v>3820.5165863177235</v>
      </c>
      <c r="AF50" s="15">
        <f t="shared" si="55"/>
        <v>178</v>
      </c>
      <c r="AG50">
        <f t="shared" si="56"/>
        <v>5892.9181014692385</v>
      </c>
      <c r="AH50" s="15">
        <f t="shared" si="57"/>
        <v>149</v>
      </c>
      <c r="AI50">
        <f t="shared" si="58"/>
        <v>1033.4938590449958</v>
      </c>
      <c r="AJ50" s="15">
        <f t="shared" si="59"/>
        <v>217</v>
      </c>
    </row>
    <row r="51" spans="1:36" x14ac:dyDescent="0.25">
      <c r="A51" s="15"/>
      <c r="B51" s="15">
        <v>2</v>
      </c>
      <c r="C51" s="15">
        <v>181</v>
      </c>
      <c r="D51" s="15">
        <v>231.46212121212122</v>
      </c>
      <c r="E51" s="15">
        <v>218.16666666666666</v>
      </c>
      <c r="F51" s="15">
        <f>(C51-C134)^2</f>
        <v>2546.4256772268141</v>
      </c>
      <c r="G51">
        <f t="shared" si="31"/>
        <v>3606.1302226813596</v>
      </c>
      <c r="H51" s="15">
        <f t="shared" si="32"/>
        <v>160</v>
      </c>
      <c r="I51">
        <f t="shared" ref="I51:I82" si="60">(C51-$C182)*(J51-$C$134)</f>
        <v>-5151.6439393939409</v>
      </c>
      <c r="J51" s="15">
        <f t="shared" si="33"/>
        <v>203</v>
      </c>
      <c r="K51">
        <f t="shared" si="34"/>
        <v>1739.0317378328748</v>
      </c>
      <c r="L51" s="15">
        <f t="shared" si="35"/>
        <v>197</v>
      </c>
      <c r="M51">
        <f t="shared" si="36"/>
        <v>4262.1377984389355</v>
      </c>
      <c r="N51" s="15">
        <f t="shared" si="37"/>
        <v>147</v>
      </c>
      <c r="O51">
        <f t="shared" si="38"/>
        <v>1284.8726469237838</v>
      </c>
      <c r="P51" s="15">
        <f t="shared" si="39"/>
        <v>206</v>
      </c>
      <c r="Q51">
        <f t="shared" si="40"/>
        <v>5119.9938590449965</v>
      </c>
      <c r="R51" s="15">
        <f t="shared" si="41"/>
        <v>130</v>
      </c>
      <c r="S51">
        <f t="shared" si="42"/>
        <v>780.25143480257157</v>
      </c>
      <c r="T51" s="15">
        <f t="shared" si="43"/>
        <v>216</v>
      </c>
      <c r="U51">
        <f t="shared" si="44"/>
        <v>326.09234389348057</v>
      </c>
      <c r="V51" s="15">
        <f t="shared" si="45"/>
        <v>225</v>
      </c>
      <c r="W51">
        <f t="shared" si="46"/>
        <v>-2550.2485651974289</v>
      </c>
      <c r="X51" s="15">
        <f t="shared" si="47"/>
        <v>282</v>
      </c>
      <c r="Y51">
        <f t="shared" si="48"/>
        <v>-6990.9152318640963</v>
      </c>
      <c r="Z51" s="15">
        <f t="shared" si="49"/>
        <v>370</v>
      </c>
      <c r="AA51">
        <f t="shared" si="50"/>
        <v>-3963.1879591368229</v>
      </c>
      <c r="AB51" s="15">
        <f t="shared" si="51"/>
        <v>310</v>
      </c>
      <c r="AC51">
        <f t="shared" si="52"/>
        <v>3656.592343893481</v>
      </c>
      <c r="AD51" s="15">
        <f t="shared" si="53"/>
        <v>159</v>
      </c>
      <c r="AE51" s="27">
        <f t="shared" si="54"/>
        <v>427.01658631772301</v>
      </c>
      <c r="AF51" s="15">
        <f t="shared" si="55"/>
        <v>223</v>
      </c>
      <c r="AG51">
        <f t="shared" si="56"/>
        <v>2697.812040863178</v>
      </c>
      <c r="AH51" s="15">
        <f t="shared" si="57"/>
        <v>178</v>
      </c>
      <c r="AI51">
        <f t="shared" si="58"/>
        <v>4161.2135560146935</v>
      </c>
      <c r="AJ51" s="15">
        <f t="shared" si="59"/>
        <v>149</v>
      </c>
    </row>
    <row r="52" spans="1:36" x14ac:dyDescent="0.25">
      <c r="A52" s="15"/>
      <c r="B52" s="15">
        <v>3</v>
      </c>
      <c r="C52" s="15">
        <v>225</v>
      </c>
      <c r="D52" s="15">
        <v>231.46212121212122</v>
      </c>
      <c r="E52" s="15">
        <v>218.16666666666666</v>
      </c>
      <c r="F52" s="15">
        <f>(C52-C134)^2</f>
        <v>41.759010560147004</v>
      </c>
      <c r="G52">
        <f t="shared" si="31"/>
        <v>326.09234389348057</v>
      </c>
      <c r="H52" s="15">
        <f t="shared" si="32"/>
        <v>181</v>
      </c>
      <c r="I52">
        <f t="shared" si="60"/>
        <v>-16078.977272727274</v>
      </c>
      <c r="J52" s="15">
        <f t="shared" si="33"/>
        <v>160</v>
      </c>
      <c r="K52">
        <f t="shared" si="34"/>
        <v>183.9256772268138</v>
      </c>
      <c r="L52" s="15">
        <f t="shared" si="35"/>
        <v>203</v>
      </c>
      <c r="M52">
        <f t="shared" si="36"/>
        <v>222.69840449954111</v>
      </c>
      <c r="N52" s="15">
        <f t="shared" si="37"/>
        <v>197</v>
      </c>
      <c r="O52">
        <f t="shared" si="38"/>
        <v>545.80446510560205</v>
      </c>
      <c r="P52" s="15">
        <f t="shared" si="39"/>
        <v>147</v>
      </c>
      <c r="Q52">
        <f t="shared" si="40"/>
        <v>164.53931359045015</v>
      </c>
      <c r="R52" s="15">
        <f t="shared" si="41"/>
        <v>206</v>
      </c>
      <c r="S52">
        <f t="shared" si="42"/>
        <v>655.66052571166267</v>
      </c>
      <c r="T52" s="15">
        <f t="shared" si="43"/>
        <v>130</v>
      </c>
      <c r="U52">
        <f t="shared" si="44"/>
        <v>99.918101469237968</v>
      </c>
      <c r="V52" s="15">
        <f t="shared" si="45"/>
        <v>216</v>
      </c>
      <c r="W52">
        <f t="shared" si="46"/>
        <v>41.759010560147004</v>
      </c>
      <c r="X52" s="15">
        <f t="shared" si="47"/>
        <v>225</v>
      </c>
      <c r="Y52">
        <f t="shared" si="48"/>
        <v>-326.58189853076243</v>
      </c>
      <c r="Z52" s="15">
        <f t="shared" si="49"/>
        <v>282</v>
      </c>
      <c r="AA52">
        <f t="shared" si="50"/>
        <v>-895.24856519742968</v>
      </c>
      <c r="AB52" s="15">
        <f t="shared" si="51"/>
        <v>370</v>
      </c>
      <c r="AC52">
        <f t="shared" si="52"/>
        <v>-507.52129247015654</v>
      </c>
      <c r="AD52" s="15">
        <f t="shared" si="53"/>
        <v>310</v>
      </c>
      <c r="AE52" s="27">
        <f t="shared" si="54"/>
        <v>468.25901056014737</v>
      </c>
      <c r="AF52" s="15">
        <f t="shared" si="55"/>
        <v>159</v>
      </c>
      <c r="AG52">
        <f t="shared" si="56"/>
        <v>54.683252984389441</v>
      </c>
      <c r="AH52" s="15">
        <f t="shared" si="57"/>
        <v>223</v>
      </c>
      <c r="AI52">
        <f t="shared" si="58"/>
        <v>345.47870752984426</v>
      </c>
      <c r="AJ52" s="15">
        <f t="shared" si="59"/>
        <v>178</v>
      </c>
    </row>
    <row r="53" spans="1:36" x14ac:dyDescent="0.25">
      <c r="A53" s="15"/>
      <c r="B53" s="15">
        <v>4</v>
      </c>
      <c r="C53" s="15">
        <v>417</v>
      </c>
      <c r="D53" s="15">
        <v>231.46212121212122</v>
      </c>
      <c r="E53" s="15">
        <v>218.16666666666666</v>
      </c>
      <c r="F53" s="15">
        <f>(C53-C134)^2</f>
        <v>34424.304465105597</v>
      </c>
      <c r="G53">
        <f t="shared" si="31"/>
        <v>-1198.9682621671268</v>
      </c>
      <c r="H53" s="15">
        <f t="shared" si="32"/>
        <v>225</v>
      </c>
      <c r="I53">
        <f t="shared" si="60"/>
        <v>-21042.704545454548</v>
      </c>
      <c r="J53" s="15">
        <f t="shared" si="33"/>
        <v>181</v>
      </c>
      <c r="K53">
        <f t="shared" si="34"/>
        <v>-13258.930383379247</v>
      </c>
      <c r="L53" s="15">
        <f t="shared" si="35"/>
        <v>160</v>
      </c>
      <c r="M53">
        <f t="shared" si="36"/>
        <v>-5280.8015955004603</v>
      </c>
      <c r="N53" s="15">
        <f t="shared" si="37"/>
        <v>203</v>
      </c>
      <c r="O53">
        <f t="shared" si="38"/>
        <v>-6394.0288682277323</v>
      </c>
      <c r="P53" s="15">
        <f t="shared" si="39"/>
        <v>197</v>
      </c>
      <c r="Q53">
        <f t="shared" si="40"/>
        <v>-15670.922807621671</v>
      </c>
      <c r="R53" s="15">
        <f t="shared" si="41"/>
        <v>147</v>
      </c>
      <c r="S53">
        <f t="shared" si="42"/>
        <v>-4724.1879591368233</v>
      </c>
      <c r="T53" s="15">
        <f t="shared" si="43"/>
        <v>206</v>
      </c>
      <c r="U53">
        <f t="shared" si="44"/>
        <v>-18825.066747015611</v>
      </c>
      <c r="V53" s="15">
        <f t="shared" si="45"/>
        <v>130</v>
      </c>
      <c r="W53">
        <f t="shared" si="46"/>
        <v>-2868.8091712580358</v>
      </c>
      <c r="X53" s="15">
        <f t="shared" si="47"/>
        <v>216</v>
      </c>
      <c r="Y53">
        <f t="shared" si="48"/>
        <v>-1198.9682621671268</v>
      </c>
      <c r="Z53" s="15">
        <f t="shared" si="49"/>
        <v>225</v>
      </c>
      <c r="AA53">
        <f t="shared" si="50"/>
        <v>9376.6908287419628</v>
      </c>
      <c r="AB53" s="15">
        <f t="shared" si="51"/>
        <v>282</v>
      </c>
      <c r="AC53">
        <f t="shared" si="52"/>
        <v>25704.024162075297</v>
      </c>
      <c r="AD53" s="15">
        <f t="shared" si="53"/>
        <v>370</v>
      </c>
      <c r="AE53" s="27">
        <f t="shared" si="54"/>
        <v>14571.751434802569</v>
      </c>
      <c r="AF53" s="15">
        <f t="shared" si="55"/>
        <v>310</v>
      </c>
      <c r="AG53">
        <f t="shared" si="56"/>
        <v>-13444.468262167127</v>
      </c>
      <c r="AH53" s="15">
        <f t="shared" si="57"/>
        <v>159</v>
      </c>
      <c r="AI53">
        <f t="shared" si="58"/>
        <v>-1570.0440197428845</v>
      </c>
      <c r="AJ53" s="15">
        <f t="shared" si="59"/>
        <v>223</v>
      </c>
    </row>
    <row r="54" spans="1:36" x14ac:dyDescent="0.25">
      <c r="A54" s="15"/>
      <c r="B54" s="15">
        <v>5</v>
      </c>
      <c r="C54" s="15">
        <v>442</v>
      </c>
      <c r="D54" s="15">
        <v>231.46212121212122</v>
      </c>
      <c r="E54" s="15">
        <v>218.16666666666666</v>
      </c>
      <c r="F54" s="15">
        <f>(C54-C134)^2</f>
        <v>44326.198404499541</v>
      </c>
      <c r="G54">
        <f t="shared" si="31"/>
        <v>39062.751434802565</v>
      </c>
      <c r="H54" s="15">
        <f t="shared" si="32"/>
        <v>417</v>
      </c>
      <c r="I54">
        <f t="shared" si="60"/>
        <v>-2856.2575757575783</v>
      </c>
      <c r="J54" s="15">
        <f t="shared" si="33"/>
        <v>225</v>
      </c>
      <c r="K54">
        <f t="shared" si="34"/>
        <v>-10624.187959136823</v>
      </c>
      <c r="L54" s="15">
        <f t="shared" si="35"/>
        <v>181</v>
      </c>
      <c r="M54">
        <f t="shared" si="36"/>
        <v>-15045.483413682277</v>
      </c>
      <c r="N54" s="15">
        <f t="shared" si="37"/>
        <v>160</v>
      </c>
      <c r="O54">
        <f t="shared" si="38"/>
        <v>-5992.3546258034903</v>
      </c>
      <c r="P54" s="15">
        <f t="shared" si="39"/>
        <v>203</v>
      </c>
      <c r="Q54">
        <f t="shared" si="40"/>
        <v>-7255.5818985307633</v>
      </c>
      <c r="R54" s="15">
        <f t="shared" si="41"/>
        <v>197</v>
      </c>
      <c r="S54">
        <f t="shared" si="42"/>
        <v>-17782.475837924703</v>
      </c>
      <c r="T54" s="15">
        <f t="shared" si="43"/>
        <v>147</v>
      </c>
      <c r="U54">
        <f t="shared" si="44"/>
        <v>-5360.7409894398543</v>
      </c>
      <c r="V54" s="15">
        <f t="shared" si="45"/>
        <v>206</v>
      </c>
      <c r="W54">
        <f t="shared" si="46"/>
        <v>-21361.619777318643</v>
      </c>
      <c r="X54" s="15">
        <f t="shared" si="47"/>
        <v>130</v>
      </c>
      <c r="Y54">
        <f t="shared" si="48"/>
        <v>-3255.3622015610663</v>
      </c>
      <c r="Z54" s="15">
        <f t="shared" si="49"/>
        <v>216</v>
      </c>
      <c r="AA54">
        <f t="shared" si="50"/>
        <v>-1360.5212924701573</v>
      </c>
      <c r="AB54" s="15">
        <f t="shared" si="51"/>
        <v>225</v>
      </c>
      <c r="AC54">
        <f t="shared" si="52"/>
        <v>10640.137798438933</v>
      </c>
      <c r="AD54" s="15">
        <f t="shared" si="53"/>
        <v>282</v>
      </c>
      <c r="AE54" s="27">
        <f t="shared" si="54"/>
        <v>29167.471131772265</v>
      </c>
      <c r="AF54" s="15">
        <f t="shared" si="55"/>
        <v>370</v>
      </c>
      <c r="AG54">
        <f t="shared" si="56"/>
        <v>16535.198404499541</v>
      </c>
      <c r="AH54" s="15">
        <f t="shared" si="57"/>
        <v>310</v>
      </c>
      <c r="AI54">
        <f t="shared" si="58"/>
        <v>-15256.021292470157</v>
      </c>
      <c r="AJ54" s="15">
        <f t="shared" si="59"/>
        <v>159</v>
      </c>
    </row>
    <row r="55" spans="1:36" x14ac:dyDescent="0.25">
      <c r="A55" s="15"/>
      <c r="B55" s="15">
        <v>6</v>
      </c>
      <c r="C55" s="15">
        <v>245</v>
      </c>
      <c r="D55" s="15">
        <v>231.46212121212122</v>
      </c>
      <c r="E55" s="15">
        <v>218.16666666666666</v>
      </c>
      <c r="F55" s="15">
        <f>(C55-C134)^2</f>
        <v>183.27416207529828</v>
      </c>
      <c r="G55">
        <f t="shared" si="31"/>
        <v>2850.2362832874182</v>
      </c>
      <c r="H55" s="15">
        <f t="shared" si="32"/>
        <v>442</v>
      </c>
      <c r="I55">
        <f t="shared" si="60"/>
        <v>45456.780303030304</v>
      </c>
      <c r="J55" s="15">
        <f t="shared" si="33"/>
        <v>417</v>
      </c>
      <c r="K55">
        <f t="shared" si="34"/>
        <v>-87.483413682277359</v>
      </c>
      <c r="L55" s="15">
        <f t="shared" si="35"/>
        <v>225</v>
      </c>
      <c r="M55">
        <f t="shared" si="36"/>
        <v>-683.15008034894379</v>
      </c>
      <c r="N55" s="15">
        <f t="shared" si="37"/>
        <v>181</v>
      </c>
      <c r="O55">
        <f t="shared" si="38"/>
        <v>-967.44553489439818</v>
      </c>
      <c r="P55" s="15">
        <f t="shared" si="39"/>
        <v>160</v>
      </c>
      <c r="Q55">
        <f t="shared" si="40"/>
        <v>-385.31674701561059</v>
      </c>
      <c r="R55" s="15">
        <f t="shared" si="41"/>
        <v>203</v>
      </c>
      <c r="S55">
        <f t="shared" si="42"/>
        <v>-466.54401974288328</v>
      </c>
      <c r="T55" s="15">
        <f t="shared" si="43"/>
        <v>197</v>
      </c>
      <c r="U55">
        <f t="shared" si="44"/>
        <v>-1143.4379591368224</v>
      </c>
      <c r="V55" s="15">
        <f t="shared" si="45"/>
        <v>147</v>
      </c>
      <c r="W55">
        <f t="shared" si="46"/>
        <v>-344.70311065197421</v>
      </c>
      <c r="X55" s="15">
        <f t="shared" si="47"/>
        <v>206</v>
      </c>
      <c r="Y55">
        <f t="shared" si="48"/>
        <v>-1373.5818985307617</v>
      </c>
      <c r="Z55" s="15">
        <f t="shared" si="49"/>
        <v>130</v>
      </c>
      <c r="AA55">
        <f t="shared" si="50"/>
        <v>-209.3243227731864</v>
      </c>
      <c r="AB55" s="15">
        <f t="shared" si="51"/>
        <v>216</v>
      </c>
      <c r="AC55">
        <f t="shared" si="52"/>
        <v>-87.483413682277359</v>
      </c>
      <c r="AD55" s="15">
        <f t="shared" si="53"/>
        <v>225</v>
      </c>
      <c r="AE55" s="27">
        <f t="shared" si="54"/>
        <v>684.17567722681315</v>
      </c>
      <c r="AF55" s="15">
        <f t="shared" si="55"/>
        <v>282</v>
      </c>
      <c r="AG55">
        <f t="shared" si="56"/>
        <v>1875.509010560146</v>
      </c>
      <c r="AH55" s="15">
        <f t="shared" si="57"/>
        <v>370</v>
      </c>
      <c r="AI55">
        <f t="shared" si="58"/>
        <v>1063.2362832874192</v>
      </c>
      <c r="AJ55" s="15">
        <f t="shared" si="59"/>
        <v>310</v>
      </c>
    </row>
    <row r="56" spans="1:36" x14ac:dyDescent="0.25">
      <c r="A56" s="15"/>
      <c r="B56" s="15">
        <v>7</v>
      </c>
      <c r="C56" s="15">
        <v>263</v>
      </c>
      <c r="D56" s="15">
        <v>231.46212121212122</v>
      </c>
      <c r="E56" s="15">
        <v>218.16666666666666</v>
      </c>
      <c r="F56" s="15">
        <f>(C56-C134)^2</f>
        <v>994.6377984389344</v>
      </c>
      <c r="G56">
        <f t="shared" si="31"/>
        <v>426.95598025711632</v>
      </c>
      <c r="H56" s="15">
        <f t="shared" si="32"/>
        <v>245</v>
      </c>
      <c r="I56">
        <f t="shared" si="60"/>
        <v>55371.46212121212</v>
      </c>
      <c r="J56" s="15">
        <f t="shared" si="33"/>
        <v>442</v>
      </c>
      <c r="K56">
        <f t="shared" si="34"/>
        <v>5851.4711317722667</v>
      </c>
      <c r="L56" s="15">
        <f t="shared" si="35"/>
        <v>417</v>
      </c>
      <c r="M56">
        <f t="shared" si="36"/>
        <v>-203.80159550045929</v>
      </c>
      <c r="N56" s="15">
        <f t="shared" si="37"/>
        <v>225</v>
      </c>
      <c r="O56">
        <f t="shared" si="38"/>
        <v>-1591.4682621671257</v>
      </c>
      <c r="P56" s="15">
        <f t="shared" si="39"/>
        <v>181</v>
      </c>
      <c r="Q56">
        <f t="shared" si="40"/>
        <v>-2253.7637167125799</v>
      </c>
      <c r="R56" s="15">
        <f t="shared" si="41"/>
        <v>160</v>
      </c>
      <c r="S56">
        <f t="shared" si="42"/>
        <v>-897.63492883379251</v>
      </c>
      <c r="T56" s="15">
        <f t="shared" si="43"/>
        <v>203</v>
      </c>
      <c r="U56">
        <f t="shared" si="44"/>
        <v>-1086.8622015610651</v>
      </c>
      <c r="V56" s="15">
        <f t="shared" si="45"/>
        <v>197</v>
      </c>
      <c r="W56">
        <f t="shared" si="46"/>
        <v>-2663.7561409550044</v>
      </c>
      <c r="X56" s="15">
        <f t="shared" si="47"/>
        <v>147</v>
      </c>
      <c r="Y56">
        <f t="shared" si="48"/>
        <v>-803.02129247015614</v>
      </c>
      <c r="Z56" s="15">
        <f t="shared" si="49"/>
        <v>206</v>
      </c>
      <c r="AA56">
        <f t="shared" si="50"/>
        <v>-3199.9000803489434</v>
      </c>
      <c r="AB56" s="15">
        <f t="shared" si="51"/>
        <v>130</v>
      </c>
      <c r="AC56">
        <f t="shared" si="52"/>
        <v>-487.64250459136832</v>
      </c>
      <c r="AD56" s="15">
        <f t="shared" si="53"/>
        <v>216</v>
      </c>
      <c r="AE56" s="27">
        <f t="shared" si="54"/>
        <v>-203.80159550045929</v>
      </c>
      <c r="AF56" s="15">
        <f t="shared" si="55"/>
        <v>225</v>
      </c>
      <c r="AG56">
        <f t="shared" si="56"/>
        <v>1593.8574954086312</v>
      </c>
      <c r="AH56" s="15">
        <f t="shared" si="57"/>
        <v>282</v>
      </c>
      <c r="AI56">
        <f t="shared" si="58"/>
        <v>4369.1908287419637</v>
      </c>
      <c r="AJ56" s="15">
        <f t="shared" si="59"/>
        <v>370</v>
      </c>
    </row>
    <row r="57" spans="1:36" x14ac:dyDescent="0.25">
      <c r="A57" s="15"/>
      <c r="B57" s="15">
        <v>8</v>
      </c>
      <c r="C57" s="15">
        <v>118</v>
      </c>
      <c r="D57" s="15">
        <v>231.46212121212122</v>
      </c>
      <c r="E57" s="15">
        <v>218.16666666666666</v>
      </c>
      <c r="F57" s="15">
        <f>(C57-C134)^2</f>
        <v>12873.652949954088</v>
      </c>
      <c r="G57">
        <f t="shared" si="31"/>
        <v>-3578.3546258034889</v>
      </c>
      <c r="H57" s="15">
        <f t="shared" si="32"/>
        <v>263</v>
      </c>
      <c r="I57">
        <f t="shared" si="60"/>
        <v>1597.4696969696963</v>
      </c>
      <c r="J57" s="15">
        <f t="shared" si="33"/>
        <v>245</v>
      </c>
      <c r="K57">
        <f t="shared" si="34"/>
        <v>-23888.074322773187</v>
      </c>
      <c r="L57" s="15">
        <f t="shared" si="35"/>
        <v>442</v>
      </c>
      <c r="M57">
        <f t="shared" si="36"/>
        <v>-21051.521292470155</v>
      </c>
      <c r="N57" s="15">
        <f t="shared" si="37"/>
        <v>417</v>
      </c>
      <c r="O57">
        <f t="shared" si="38"/>
        <v>733.20598025711729</v>
      </c>
      <c r="P57" s="15">
        <f t="shared" si="39"/>
        <v>225</v>
      </c>
      <c r="Q57">
        <f t="shared" si="40"/>
        <v>5725.5393135904505</v>
      </c>
      <c r="R57" s="15">
        <f t="shared" si="41"/>
        <v>181</v>
      </c>
      <c r="S57">
        <f t="shared" si="42"/>
        <v>8108.2438590449965</v>
      </c>
      <c r="T57" s="15">
        <f t="shared" si="43"/>
        <v>160</v>
      </c>
      <c r="U57">
        <f t="shared" si="44"/>
        <v>3229.372646923784</v>
      </c>
      <c r="V57" s="15">
        <f t="shared" si="45"/>
        <v>203</v>
      </c>
      <c r="W57">
        <f t="shared" si="46"/>
        <v>3910.1453741965115</v>
      </c>
      <c r="X57" s="15">
        <f t="shared" si="47"/>
        <v>197</v>
      </c>
      <c r="Y57">
        <f t="shared" si="48"/>
        <v>9583.2514348025725</v>
      </c>
      <c r="Z57" s="15">
        <f t="shared" si="49"/>
        <v>147</v>
      </c>
      <c r="AA57">
        <f t="shared" si="50"/>
        <v>2888.9862832874205</v>
      </c>
      <c r="AB57" s="15">
        <f t="shared" si="51"/>
        <v>206</v>
      </c>
      <c r="AC57">
        <f t="shared" si="52"/>
        <v>11512.107495408633</v>
      </c>
      <c r="AD57" s="15">
        <f t="shared" si="53"/>
        <v>130</v>
      </c>
      <c r="AE57" s="27">
        <f t="shared" si="54"/>
        <v>1754.3650711662083</v>
      </c>
      <c r="AF57" s="15">
        <f t="shared" si="55"/>
        <v>216</v>
      </c>
      <c r="AG57">
        <f t="shared" si="56"/>
        <v>733.20598025711729</v>
      </c>
      <c r="AH57" s="15">
        <f t="shared" si="57"/>
        <v>225</v>
      </c>
      <c r="AI57">
        <f t="shared" si="58"/>
        <v>-5734.1349288337924</v>
      </c>
      <c r="AJ57" s="15">
        <f t="shared" si="59"/>
        <v>282</v>
      </c>
    </row>
    <row r="58" spans="1:36" x14ac:dyDescent="0.25">
      <c r="A58" s="15"/>
      <c r="B58" s="15">
        <v>9</v>
      </c>
      <c r="C58" s="15">
        <v>144</v>
      </c>
      <c r="D58" s="15">
        <v>231.46212121212122</v>
      </c>
      <c r="E58" s="15">
        <v>218.16666666666666</v>
      </c>
      <c r="F58" s="15">
        <f>(C58-C134)^2</f>
        <v>7649.6226469237845</v>
      </c>
      <c r="G58">
        <f t="shared" si="31"/>
        <v>9923.6377984389364</v>
      </c>
      <c r="H58" s="15">
        <f t="shared" si="32"/>
        <v>118</v>
      </c>
      <c r="I58">
        <f t="shared" si="60"/>
        <v>4541.4545454545441</v>
      </c>
      <c r="J58" s="15">
        <f t="shared" si="33"/>
        <v>263</v>
      </c>
      <c r="K58">
        <f t="shared" si="34"/>
        <v>-1184.0515955004587</v>
      </c>
      <c r="L58" s="15">
        <f t="shared" si="35"/>
        <v>245</v>
      </c>
      <c r="M58">
        <f t="shared" si="36"/>
        <v>-18414.089474288339</v>
      </c>
      <c r="N58" s="15">
        <f t="shared" si="37"/>
        <v>442</v>
      </c>
      <c r="O58">
        <f t="shared" si="38"/>
        <v>-16227.536443985307</v>
      </c>
      <c r="P58" s="15">
        <f t="shared" si="39"/>
        <v>417</v>
      </c>
      <c r="Q58">
        <f t="shared" si="40"/>
        <v>565.19082874196567</v>
      </c>
      <c r="R58" s="15">
        <f t="shared" si="41"/>
        <v>225</v>
      </c>
      <c r="S58">
        <f t="shared" si="42"/>
        <v>4413.5241620752995</v>
      </c>
      <c r="T58" s="15">
        <f t="shared" si="43"/>
        <v>181</v>
      </c>
      <c r="U58">
        <f t="shared" si="44"/>
        <v>6250.2287075298445</v>
      </c>
      <c r="V58" s="15">
        <f t="shared" si="45"/>
        <v>160</v>
      </c>
      <c r="W58">
        <f t="shared" si="46"/>
        <v>2489.3574954086325</v>
      </c>
      <c r="X58" s="15">
        <f t="shared" si="47"/>
        <v>203</v>
      </c>
      <c r="Y58">
        <f t="shared" si="48"/>
        <v>3014.1302226813596</v>
      </c>
      <c r="Z58" s="15">
        <f t="shared" si="49"/>
        <v>197</v>
      </c>
      <c r="AA58">
        <f t="shared" si="50"/>
        <v>7387.2362832874205</v>
      </c>
      <c r="AB58" s="15">
        <f t="shared" si="51"/>
        <v>147</v>
      </c>
      <c r="AC58">
        <f t="shared" si="52"/>
        <v>2226.971131772269</v>
      </c>
      <c r="AD58" s="15">
        <f t="shared" si="53"/>
        <v>206</v>
      </c>
      <c r="AE58" s="27">
        <f t="shared" si="54"/>
        <v>8874.0923438934806</v>
      </c>
      <c r="AF58" s="15">
        <f t="shared" si="55"/>
        <v>130</v>
      </c>
      <c r="AG58">
        <f t="shared" si="56"/>
        <v>1352.3499196510566</v>
      </c>
      <c r="AH58" s="15">
        <f t="shared" si="57"/>
        <v>216</v>
      </c>
      <c r="AI58">
        <f t="shared" si="58"/>
        <v>565.19082874196567</v>
      </c>
      <c r="AJ58" s="15">
        <f t="shared" si="59"/>
        <v>225</v>
      </c>
    </row>
    <row r="59" spans="1:36" x14ac:dyDescent="0.25">
      <c r="A59" s="15"/>
      <c r="B59" s="15">
        <v>10</v>
      </c>
      <c r="C59" s="15">
        <v>144</v>
      </c>
      <c r="D59" s="15">
        <v>231.46212121212122</v>
      </c>
      <c r="E59" s="15">
        <v>218.16666666666666</v>
      </c>
      <c r="F59" s="15">
        <f>(C59-C134)^2</f>
        <v>7649.6226469237845</v>
      </c>
      <c r="G59">
        <f t="shared" si="31"/>
        <v>7649.6226469237845</v>
      </c>
      <c r="H59" s="15">
        <f t="shared" si="32"/>
        <v>144</v>
      </c>
      <c r="I59">
        <f t="shared" si="60"/>
        <v>-16338.545454545456</v>
      </c>
      <c r="J59" s="15">
        <f t="shared" si="33"/>
        <v>118</v>
      </c>
      <c r="K59">
        <f t="shared" si="34"/>
        <v>-2758.3697773186404</v>
      </c>
      <c r="L59" s="15">
        <f t="shared" si="35"/>
        <v>263</v>
      </c>
      <c r="M59">
        <f t="shared" si="36"/>
        <v>-1184.0515955004587</v>
      </c>
      <c r="N59" s="15">
        <f t="shared" si="37"/>
        <v>245</v>
      </c>
      <c r="O59">
        <f t="shared" si="38"/>
        <v>-18414.089474288339</v>
      </c>
      <c r="P59" s="15">
        <f t="shared" si="39"/>
        <v>442</v>
      </c>
      <c r="Q59">
        <f t="shared" si="40"/>
        <v>-16227.536443985307</v>
      </c>
      <c r="R59" s="15">
        <f t="shared" si="41"/>
        <v>417</v>
      </c>
      <c r="S59">
        <f t="shared" si="42"/>
        <v>565.19082874196567</v>
      </c>
      <c r="T59" s="15">
        <f t="shared" si="43"/>
        <v>225</v>
      </c>
      <c r="U59">
        <f t="shared" si="44"/>
        <v>4413.5241620752995</v>
      </c>
      <c r="V59" s="15">
        <f t="shared" si="45"/>
        <v>181</v>
      </c>
      <c r="W59">
        <f t="shared" si="46"/>
        <v>6250.2287075298445</v>
      </c>
      <c r="X59" s="15">
        <f t="shared" si="47"/>
        <v>160</v>
      </c>
      <c r="Y59">
        <f t="shared" si="48"/>
        <v>2489.3574954086325</v>
      </c>
      <c r="Z59" s="15">
        <f t="shared" si="49"/>
        <v>203</v>
      </c>
      <c r="AA59">
        <f t="shared" si="50"/>
        <v>3014.1302226813596</v>
      </c>
      <c r="AB59" s="15">
        <f t="shared" si="51"/>
        <v>197</v>
      </c>
      <c r="AC59">
        <f t="shared" si="52"/>
        <v>7387.2362832874205</v>
      </c>
      <c r="AD59" s="15">
        <f t="shared" si="53"/>
        <v>147</v>
      </c>
      <c r="AE59" s="27">
        <f t="shared" si="54"/>
        <v>2226.971131772269</v>
      </c>
      <c r="AF59" s="15">
        <f t="shared" si="55"/>
        <v>206</v>
      </c>
      <c r="AG59">
        <f t="shared" si="56"/>
        <v>8874.0923438934806</v>
      </c>
      <c r="AH59" s="15">
        <f t="shared" si="57"/>
        <v>130</v>
      </c>
      <c r="AI59">
        <f t="shared" si="58"/>
        <v>1352.3499196510566</v>
      </c>
      <c r="AJ59" s="15">
        <f t="shared" si="59"/>
        <v>216</v>
      </c>
    </row>
    <row r="60" spans="1:36" x14ac:dyDescent="0.25">
      <c r="A60" s="15"/>
      <c r="B60" s="15">
        <v>11</v>
      </c>
      <c r="C60" s="15">
        <v>188</v>
      </c>
      <c r="D60" s="15">
        <v>231.46212121212122</v>
      </c>
      <c r="E60" s="15">
        <v>218.16666666666666</v>
      </c>
      <c r="F60" s="15">
        <f>(C60-C134)^2</f>
        <v>1888.9559802571171</v>
      </c>
      <c r="G60">
        <f t="shared" si="31"/>
        <v>3801.2893135904505</v>
      </c>
      <c r="H60" s="15">
        <f t="shared" si="32"/>
        <v>144</v>
      </c>
      <c r="I60">
        <f t="shared" si="60"/>
        <v>-16442.878787878788</v>
      </c>
      <c r="J60" s="15">
        <f t="shared" si="33"/>
        <v>144</v>
      </c>
      <c r="K60">
        <f t="shared" si="34"/>
        <v>4931.3044651056025</v>
      </c>
      <c r="L60" s="15">
        <f t="shared" si="35"/>
        <v>118</v>
      </c>
      <c r="M60">
        <f t="shared" si="36"/>
        <v>-1370.7031106519742</v>
      </c>
      <c r="N60" s="15">
        <f t="shared" si="37"/>
        <v>263</v>
      </c>
      <c r="O60">
        <f t="shared" si="38"/>
        <v>-588.38492883379229</v>
      </c>
      <c r="P60" s="15">
        <f t="shared" si="39"/>
        <v>245</v>
      </c>
      <c r="Q60">
        <f t="shared" si="40"/>
        <v>-9150.4228076216714</v>
      </c>
      <c r="R60" s="15">
        <f t="shared" si="41"/>
        <v>442</v>
      </c>
      <c r="S60">
        <f t="shared" si="42"/>
        <v>-8063.8697773186423</v>
      </c>
      <c r="T60" s="15">
        <f t="shared" si="43"/>
        <v>417</v>
      </c>
      <c r="U60">
        <f t="shared" si="44"/>
        <v>280.85749540863208</v>
      </c>
      <c r="V60" s="15">
        <f t="shared" si="45"/>
        <v>225</v>
      </c>
      <c r="W60">
        <f t="shared" si="46"/>
        <v>2193.1908287419656</v>
      </c>
      <c r="X60" s="15">
        <f t="shared" si="47"/>
        <v>181</v>
      </c>
      <c r="Y60">
        <f t="shared" si="48"/>
        <v>3105.8953741965111</v>
      </c>
      <c r="Z60" s="15">
        <f t="shared" si="49"/>
        <v>160</v>
      </c>
      <c r="AA60">
        <f t="shared" si="50"/>
        <v>1237.0241620752988</v>
      </c>
      <c r="AB60" s="15">
        <f t="shared" si="51"/>
        <v>203</v>
      </c>
      <c r="AC60">
        <f t="shared" si="52"/>
        <v>1497.7968893480261</v>
      </c>
      <c r="AD60" s="15">
        <f t="shared" si="53"/>
        <v>197</v>
      </c>
      <c r="AE60" s="27">
        <f t="shared" si="54"/>
        <v>3670.902949954087</v>
      </c>
      <c r="AF60" s="15">
        <f t="shared" si="55"/>
        <v>147</v>
      </c>
      <c r="AG60">
        <f t="shared" si="56"/>
        <v>1106.6377984389353</v>
      </c>
      <c r="AH60" s="15">
        <f t="shared" si="57"/>
        <v>206</v>
      </c>
      <c r="AI60">
        <f t="shared" si="58"/>
        <v>4409.7590105601475</v>
      </c>
      <c r="AJ60" s="15">
        <f t="shared" si="59"/>
        <v>130</v>
      </c>
    </row>
    <row r="61" spans="1:36" x14ac:dyDescent="0.25">
      <c r="A61" s="15">
        <v>2016</v>
      </c>
      <c r="B61" s="15">
        <v>12</v>
      </c>
      <c r="C61" s="15">
        <v>91</v>
      </c>
      <c r="D61" s="15">
        <v>231.46212121212122</v>
      </c>
      <c r="E61" s="15">
        <f>SUM(C50:C61)/COUNT(C50:C61)</f>
        <v>218.16666666666666</v>
      </c>
      <c r="F61" s="15">
        <f>(C61-C134)^2</f>
        <v>19729.607495408633</v>
      </c>
      <c r="G61">
        <f t="shared" si="31"/>
        <v>6104.7817378328755</v>
      </c>
      <c r="H61" s="15">
        <f t="shared" si="32"/>
        <v>188</v>
      </c>
      <c r="I61">
        <f t="shared" si="60"/>
        <v>-7959.0530303030309</v>
      </c>
      <c r="J61" s="15">
        <f t="shared" si="33"/>
        <v>144</v>
      </c>
      <c r="K61">
        <f t="shared" si="34"/>
        <v>12285.115071166209</v>
      </c>
      <c r="L61" s="15">
        <f t="shared" si="35"/>
        <v>144</v>
      </c>
      <c r="M61">
        <f t="shared" si="36"/>
        <v>15937.13022268136</v>
      </c>
      <c r="N61" s="15">
        <f t="shared" si="37"/>
        <v>118</v>
      </c>
      <c r="O61">
        <f t="shared" si="38"/>
        <v>-4429.8773530762164</v>
      </c>
      <c r="P61" s="15">
        <f t="shared" si="39"/>
        <v>263</v>
      </c>
      <c r="Q61">
        <f t="shared" si="40"/>
        <v>-1901.5591712580342</v>
      </c>
      <c r="R61" s="15">
        <f t="shared" si="41"/>
        <v>245</v>
      </c>
      <c r="S61">
        <f t="shared" si="42"/>
        <v>-29572.597050045915</v>
      </c>
      <c r="T61" s="15">
        <f t="shared" si="43"/>
        <v>442</v>
      </c>
      <c r="U61">
        <f t="shared" si="44"/>
        <v>-26061.044019742883</v>
      </c>
      <c r="V61" s="15">
        <f t="shared" si="45"/>
        <v>417</v>
      </c>
      <c r="W61">
        <f t="shared" si="46"/>
        <v>907.68325298439026</v>
      </c>
      <c r="X61" s="15">
        <f t="shared" si="47"/>
        <v>225</v>
      </c>
      <c r="Y61">
        <f t="shared" si="48"/>
        <v>7088.0165863177235</v>
      </c>
      <c r="Z61" s="15">
        <f t="shared" si="49"/>
        <v>181</v>
      </c>
      <c r="AA61">
        <f t="shared" si="50"/>
        <v>10037.721131772269</v>
      </c>
      <c r="AB61" s="15">
        <f t="shared" si="51"/>
        <v>160</v>
      </c>
      <c r="AC61">
        <f t="shared" si="52"/>
        <v>3997.849919651057</v>
      </c>
      <c r="AD61" s="15">
        <f t="shared" si="53"/>
        <v>203</v>
      </c>
      <c r="AE61" s="27">
        <f t="shared" si="54"/>
        <v>4840.6226469237845</v>
      </c>
      <c r="AF61" s="15">
        <f t="shared" si="55"/>
        <v>197</v>
      </c>
      <c r="AG61">
        <f t="shared" si="56"/>
        <v>11863.728707529845</v>
      </c>
      <c r="AH61" s="15">
        <f t="shared" si="57"/>
        <v>147</v>
      </c>
      <c r="AI61">
        <f t="shared" si="58"/>
        <v>3576.4635560146935</v>
      </c>
      <c r="AJ61" s="15">
        <f t="shared" si="59"/>
        <v>206</v>
      </c>
    </row>
    <row r="62" spans="1:36" x14ac:dyDescent="0.25">
      <c r="A62" s="15"/>
      <c r="B62" s="15">
        <v>1</v>
      </c>
      <c r="C62" s="15">
        <v>310</v>
      </c>
      <c r="D62" s="15">
        <v>231.46212121212122</v>
      </c>
      <c r="E62" s="15">
        <v>257.08333333333331</v>
      </c>
      <c r="F62" s="15">
        <f>(C62-C134)^2</f>
        <v>6168.1984044995397</v>
      </c>
      <c r="G62">
        <f t="shared" si="31"/>
        <v>-11031.597050045913</v>
      </c>
      <c r="H62" s="15">
        <f t="shared" si="32"/>
        <v>91</v>
      </c>
      <c r="I62">
        <f t="shared" si="60"/>
        <v>-13473.257575757578</v>
      </c>
      <c r="J62" s="15">
        <f t="shared" si="33"/>
        <v>188</v>
      </c>
      <c r="K62">
        <f t="shared" si="34"/>
        <v>-6869.0894742883374</v>
      </c>
      <c r="L62" s="15">
        <f t="shared" si="35"/>
        <v>144</v>
      </c>
      <c r="M62">
        <f t="shared" si="36"/>
        <v>-6869.0894742883374</v>
      </c>
      <c r="N62" s="15">
        <f t="shared" si="37"/>
        <v>144</v>
      </c>
      <c r="O62">
        <f t="shared" si="38"/>
        <v>-8911.0743227731855</v>
      </c>
      <c r="P62" s="15">
        <f t="shared" si="39"/>
        <v>118</v>
      </c>
      <c r="Q62">
        <f t="shared" si="40"/>
        <v>2476.9181014692372</v>
      </c>
      <c r="R62" s="15">
        <f t="shared" si="41"/>
        <v>263</v>
      </c>
      <c r="S62">
        <f t="shared" si="42"/>
        <v>1063.2362832874192</v>
      </c>
      <c r="T62" s="15">
        <f t="shared" si="43"/>
        <v>245</v>
      </c>
      <c r="U62">
        <f t="shared" si="44"/>
        <v>16535.198404499541</v>
      </c>
      <c r="V62" s="15">
        <f t="shared" si="45"/>
        <v>442</v>
      </c>
      <c r="W62">
        <f t="shared" si="46"/>
        <v>14571.751434802569</v>
      </c>
      <c r="X62" s="15">
        <f t="shared" si="47"/>
        <v>417</v>
      </c>
      <c r="Y62">
        <f t="shared" si="48"/>
        <v>-507.52129247015654</v>
      </c>
      <c r="Z62" s="15">
        <f t="shared" si="49"/>
        <v>225</v>
      </c>
      <c r="AA62">
        <f t="shared" si="50"/>
        <v>-3963.1879591368229</v>
      </c>
      <c r="AB62" s="15">
        <f t="shared" si="51"/>
        <v>181</v>
      </c>
      <c r="AC62">
        <f t="shared" si="52"/>
        <v>-5612.4834136822774</v>
      </c>
      <c r="AD62" s="15">
        <f t="shared" si="53"/>
        <v>160</v>
      </c>
      <c r="AE62" s="27">
        <f t="shared" si="54"/>
        <v>-2235.3546258034899</v>
      </c>
      <c r="AF62" s="15">
        <f t="shared" si="55"/>
        <v>203</v>
      </c>
      <c r="AG62">
        <f t="shared" si="56"/>
        <v>-2706.5818985307624</v>
      </c>
      <c r="AH62" s="15">
        <f t="shared" si="57"/>
        <v>197</v>
      </c>
      <c r="AI62">
        <f t="shared" si="58"/>
        <v>-6633.4758379247014</v>
      </c>
      <c r="AJ62" s="15">
        <f t="shared" si="59"/>
        <v>147</v>
      </c>
    </row>
    <row r="63" spans="1:36" x14ac:dyDescent="0.25">
      <c r="A63" s="15"/>
      <c r="B63" s="15">
        <v>2</v>
      </c>
      <c r="C63" s="15">
        <v>226</v>
      </c>
      <c r="D63" s="15">
        <v>231.46212121212122</v>
      </c>
      <c r="E63" s="15">
        <v>257.08333333333331</v>
      </c>
      <c r="F63" s="15">
        <f>(C63-C134)^2</f>
        <v>29.834768135904564</v>
      </c>
      <c r="G63">
        <f t="shared" si="31"/>
        <v>-428.98341368227779</v>
      </c>
      <c r="H63" s="15">
        <f t="shared" si="32"/>
        <v>310</v>
      </c>
      <c r="I63">
        <f t="shared" si="60"/>
        <v>-31744.439393939396</v>
      </c>
      <c r="J63" s="15">
        <f t="shared" si="33"/>
        <v>91</v>
      </c>
      <c r="K63">
        <f t="shared" si="34"/>
        <v>237.39537419651086</v>
      </c>
      <c r="L63" s="15">
        <f t="shared" si="35"/>
        <v>188</v>
      </c>
      <c r="M63">
        <f t="shared" si="36"/>
        <v>477.72870752984443</v>
      </c>
      <c r="N63" s="15">
        <f t="shared" si="37"/>
        <v>144</v>
      </c>
      <c r="O63">
        <f t="shared" si="38"/>
        <v>477.72870752984443</v>
      </c>
      <c r="P63" s="15">
        <f t="shared" si="39"/>
        <v>144</v>
      </c>
      <c r="Q63">
        <f t="shared" si="40"/>
        <v>619.74385904499616</v>
      </c>
      <c r="R63" s="15">
        <f t="shared" si="41"/>
        <v>118</v>
      </c>
      <c r="S63">
        <f t="shared" si="42"/>
        <v>-172.2637167125805</v>
      </c>
      <c r="T63" s="15">
        <f t="shared" si="43"/>
        <v>263</v>
      </c>
      <c r="U63">
        <f t="shared" si="44"/>
        <v>-73.945534894398577</v>
      </c>
      <c r="V63" s="15">
        <f t="shared" si="45"/>
        <v>245</v>
      </c>
      <c r="W63">
        <f t="shared" si="46"/>
        <v>-1149.9834136822785</v>
      </c>
      <c r="X63" s="15">
        <f t="shared" si="47"/>
        <v>442</v>
      </c>
      <c r="Y63">
        <f t="shared" si="48"/>
        <v>-1013.4303833792482</v>
      </c>
      <c r="Z63" s="15">
        <f t="shared" si="49"/>
        <v>417</v>
      </c>
      <c r="AA63">
        <f t="shared" si="50"/>
        <v>35.296889348025786</v>
      </c>
      <c r="AB63" s="15">
        <f t="shared" si="51"/>
        <v>225</v>
      </c>
      <c r="AC63">
        <f t="shared" si="52"/>
        <v>275.63022268135938</v>
      </c>
      <c r="AD63" s="15">
        <f t="shared" si="53"/>
        <v>181</v>
      </c>
      <c r="AE63" s="27">
        <f t="shared" si="54"/>
        <v>390.33476813590494</v>
      </c>
      <c r="AF63" s="15">
        <f t="shared" si="55"/>
        <v>160</v>
      </c>
      <c r="AG63">
        <f t="shared" si="56"/>
        <v>155.46355601469259</v>
      </c>
      <c r="AH63" s="15">
        <f t="shared" si="57"/>
        <v>203</v>
      </c>
      <c r="AI63">
        <f t="shared" si="58"/>
        <v>188.23628328741989</v>
      </c>
      <c r="AJ63" s="15">
        <f t="shared" si="59"/>
        <v>197</v>
      </c>
    </row>
    <row r="64" spans="1:36" x14ac:dyDescent="0.25">
      <c r="A64" s="15"/>
      <c r="B64" s="15">
        <v>3</v>
      </c>
      <c r="C64" s="15">
        <v>254</v>
      </c>
      <c r="D64" s="15">
        <v>231.46212121212122</v>
      </c>
      <c r="E64" s="15">
        <v>257.08333333333331</v>
      </c>
      <c r="F64" s="15">
        <f>(C64-C134)^2</f>
        <v>507.95598025711632</v>
      </c>
      <c r="G64">
        <f t="shared" si="31"/>
        <v>-123.10462580348954</v>
      </c>
      <c r="H64" s="15">
        <f t="shared" si="32"/>
        <v>226</v>
      </c>
      <c r="I64">
        <f t="shared" si="60"/>
        <v>19948.621212121212</v>
      </c>
      <c r="J64" s="15">
        <f t="shared" si="33"/>
        <v>310</v>
      </c>
      <c r="K64">
        <f t="shared" si="34"/>
        <v>-3165.718262167125</v>
      </c>
      <c r="L64" s="15">
        <f t="shared" si="35"/>
        <v>91</v>
      </c>
      <c r="M64">
        <f t="shared" si="36"/>
        <v>-979.54401974288328</v>
      </c>
      <c r="N64" s="15">
        <f t="shared" si="37"/>
        <v>188</v>
      </c>
      <c r="O64">
        <f t="shared" si="38"/>
        <v>-1971.2106864095497</v>
      </c>
      <c r="P64" s="15">
        <f t="shared" si="39"/>
        <v>144</v>
      </c>
      <c r="Q64">
        <f t="shared" si="40"/>
        <v>-1971.2106864095497</v>
      </c>
      <c r="R64" s="15">
        <f t="shared" si="41"/>
        <v>144</v>
      </c>
      <c r="S64">
        <f t="shared" si="42"/>
        <v>-2557.195534894398</v>
      </c>
      <c r="T64" s="15">
        <f t="shared" si="43"/>
        <v>118</v>
      </c>
      <c r="U64">
        <f t="shared" si="44"/>
        <v>710.79688934802539</v>
      </c>
      <c r="V64" s="15">
        <f t="shared" si="45"/>
        <v>263</v>
      </c>
      <c r="W64">
        <f t="shared" si="46"/>
        <v>305.11507116620731</v>
      </c>
      <c r="X64" s="15">
        <f t="shared" si="47"/>
        <v>245</v>
      </c>
      <c r="Y64">
        <f t="shared" si="48"/>
        <v>4745.0771923783277</v>
      </c>
      <c r="Z64" s="15">
        <f t="shared" si="49"/>
        <v>442</v>
      </c>
      <c r="AA64">
        <f t="shared" si="50"/>
        <v>4181.6302226813577</v>
      </c>
      <c r="AB64" s="15">
        <f t="shared" si="51"/>
        <v>417</v>
      </c>
      <c r="AC64">
        <f t="shared" si="52"/>
        <v>-145.64250459136832</v>
      </c>
      <c r="AD64" s="15">
        <f t="shared" si="53"/>
        <v>225</v>
      </c>
      <c r="AE64" s="27">
        <f t="shared" si="54"/>
        <v>-1137.3091712580347</v>
      </c>
      <c r="AF64" s="15">
        <f t="shared" si="55"/>
        <v>181</v>
      </c>
      <c r="AG64">
        <f t="shared" si="56"/>
        <v>-1610.6046258034892</v>
      </c>
      <c r="AH64" s="15">
        <f t="shared" si="57"/>
        <v>160</v>
      </c>
      <c r="AI64">
        <f t="shared" si="58"/>
        <v>-641.47583792470152</v>
      </c>
      <c r="AJ64" s="15">
        <f t="shared" si="59"/>
        <v>203</v>
      </c>
    </row>
    <row r="65" spans="1:36" x14ac:dyDescent="0.25">
      <c r="A65" s="15"/>
      <c r="B65" s="15">
        <v>4</v>
      </c>
      <c r="C65" s="15">
        <v>385</v>
      </c>
      <c r="D65" s="15">
        <v>231.46212121212122</v>
      </c>
      <c r="E65" s="15">
        <v>257.08333333333331</v>
      </c>
      <c r="F65" s="15">
        <f>(C65-C134)^2</f>
        <v>23573.880222681357</v>
      </c>
      <c r="G65">
        <f t="shared" si="31"/>
        <v>3460.4181014692367</v>
      </c>
      <c r="H65" s="15">
        <f t="shared" si="32"/>
        <v>254</v>
      </c>
      <c r="I65">
        <f t="shared" si="60"/>
        <v>-2102.9166666666688</v>
      </c>
      <c r="J65" s="15">
        <f t="shared" si="33"/>
        <v>226</v>
      </c>
      <c r="K65">
        <f t="shared" si="34"/>
        <v>12058.539313590449</v>
      </c>
      <c r="L65" s="15">
        <f t="shared" si="35"/>
        <v>310</v>
      </c>
      <c r="M65">
        <f t="shared" si="36"/>
        <v>-21566.256140955004</v>
      </c>
      <c r="N65" s="15">
        <f t="shared" si="37"/>
        <v>91</v>
      </c>
      <c r="O65">
        <f t="shared" si="38"/>
        <v>-6673.0818985307633</v>
      </c>
      <c r="P65" s="15">
        <f t="shared" si="39"/>
        <v>188</v>
      </c>
      <c r="Q65">
        <f t="shared" si="40"/>
        <v>-13428.748565197429</v>
      </c>
      <c r="R65" s="15">
        <f t="shared" si="41"/>
        <v>144</v>
      </c>
      <c r="S65">
        <f t="shared" si="42"/>
        <v>-13428.748565197429</v>
      </c>
      <c r="T65" s="15">
        <f t="shared" si="43"/>
        <v>144</v>
      </c>
      <c r="U65">
        <f t="shared" si="44"/>
        <v>-17420.733413682279</v>
      </c>
      <c r="V65" s="15">
        <f t="shared" si="45"/>
        <v>118</v>
      </c>
      <c r="W65">
        <f t="shared" si="46"/>
        <v>4842.2590105601457</v>
      </c>
      <c r="X65" s="15">
        <f t="shared" si="47"/>
        <v>263</v>
      </c>
      <c r="Y65">
        <f t="shared" si="48"/>
        <v>2078.5771923783277</v>
      </c>
      <c r="Z65" s="15">
        <f t="shared" si="49"/>
        <v>245</v>
      </c>
      <c r="AA65">
        <f t="shared" si="50"/>
        <v>32325.539313590449</v>
      </c>
      <c r="AB65" s="15">
        <f t="shared" si="51"/>
        <v>442</v>
      </c>
      <c r="AC65">
        <f t="shared" si="52"/>
        <v>28487.092343893477</v>
      </c>
      <c r="AD65" s="15">
        <f t="shared" si="53"/>
        <v>417</v>
      </c>
      <c r="AE65" s="27">
        <f t="shared" si="54"/>
        <v>-992.18038337924793</v>
      </c>
      <c r="AF65" s="15">
        <f t="shared" si="55"/>
        <v>225</v>
      </c>
      <c r="AG65">
        <f t="shared" si="56"/>
        <v>-7747.8470500459143</v>
      </c>
      <c r="AH65" s="15">
        <f t="shared" si="57"/>
        <v>181</v>
      </c>
      <c r="AI65">
        <f t="shared" si="58"/>
        <v>-10972.142504591369</v>
      </c>
      <c r="AJ65" s="15">
        <f t="shared" si="59"/>
        <v>160</v>
      </c>
    </row>
    <row r="66" spans="1:36" x14ac:dyDescent="0.25">
      <c r="A66" s="15"/>
      <c r="B66" s="15">
        <v>5</v>
      </c>
      <c r="C66" s="15">
        <v>318</v>
      </c>
      <c r="D66" s="15">
        <v>231.46212121212122</v>
      </c>
      <c r="E66" s="15">
        <v>257.08333333333331</v>
      </c>
      <c r="F66" s="15">
        <f>(C66-C134)^2</f>
        <v>7488.8044651056007</v>
      </c>
      <c r="G66">
        <f t="shared" si="31"/>
        <v>13286.842343893479</v>
      </c>
      <c r="H66" s="15">
        <f t="shared" si="32"/>
        <v>385</v>
      </c>
      <c r="I66">
        <f t="shared" si="60"/>
        <v>7167.0454545454522</v>
      </c>
      <c r="J66" s="15">
        <f t="shared" si="33"/>
        <v>254</v>
      </c>
      <c r="K66">
        <f t="shared" si="34"/>
        <v>-472.68038337924753</v>
      </c>
      <c r="L66" s="15">
        <f t="shared" si="35"/>
        <v>226</v>
      </c>
      <c r="M66">
        <f t="shared" si="36"/>
        <v>6796.5014348025697</v>
      </c>
      <c r="N66" s="15">
        <f t="shared" si="37"/>
        <v>310</v>
      </c>
      <c r="O66">
        <f t="shared" si="38"/>
        <v>-12155.294019742883</v>
      </c>
      <c r="P66" s="15">
        <f t="shared" si="39"/>
        <v>91</v>
      </c>
      <c r="Q66">
        <f t="shared" si="40"/>
        <v>-3761.1197773186414</v>
      </c>
      <c r="R66" s="15">
        <f t="shared" si="41"/>
        <v>188</v>
      </c>
      <c r="S66">
        <f t="shared" si="42"/>
        <v>-7568.7864439853074</v>
      </c>
      <c r="T66" s="15">
        <f t="shared" si="43"/>
        <v>144</v>
      </c>
      <c r="U66">
        <f t="shared" si="44"/>
        <v>-7568.7864439853074</v>
      </c>
      <c r="V66" s="15">
        <f t="shared" si="45"/>
        <v>144</v>
      </c>
      <c r="W66">
        <f t="shared" si="46"/>
        <v>-9818.7712924701555</v>
      </c>
      <c r="X66" s="15">
        <f t="shared" si="47"/>
        <v>118</v>
      </c>
      <c r="Y66">
        <f t="shared" si="48"/>
        <v>2729.2211317722672</v>
      </c>
      <c r="Z66" s="15">
        <f t="shared" si="49"/>
        <v>263</v>
      </c>
      <c r="AA66">
        <f t="shared" si="50"/>
        <v>1171.5393135904494</v>
      </c>
      <c r="AB66" s="15">
        <f t="shared" si="51"/>
        <v>245</v>
      </c>
      <c r="AC66">
        <f t="shared" si="52"/>
        <v>18219.501434802569</v>
      </c>
      <c r="AD66" s="15">
        <f t="shared" si="53"/>
        <v>442</v>
      </c>
      <c r="AE66" s="27">
        <f t="shared" si="54"/>
        <v>16056.054465105601</v>
      </c>
      <c r="AF66" s="15">
        <f t="shared" si="55"/>
        <v>417</v>
      </c>
      <c r="AG66">
        <f t="shared" si="56"/>
        <v>-559.21826216712634</v>
      </c>
      <c r="AH66" s="15">
        <f t="shared" si="57"/>
        <v>225</v>
      </c>
      <c r="AI66">
        <f t="shared" si="58"/>
        <v>-4366.8849288337924</v>
      </c>
      <c r="AJ66" s="15">
        <f t="shared" si="59"/>
        <v>181</v>
      </c>
    </row>
    <row r="67" spans="1:36" x14ac:dyDescent="0.25">
      <c r="A67" s="15"/>
      <c r="B67" s="15">
        <v>6</v>
      </c>
      <c r="C67" s="15">
        <v>318</v>
      </c>
      <c r="D67" s="15">
        <v>231.46212121212122</v>
      </c>
      <c r="E67" s="15">
        <v>257.08333333333331</v>
      </c>
      <c r="F67" s="15">
        <f>(C67-C134)^2</f>
        <v>7488.8044651056007</v>
      </c>
      <c r="G67">
        <f t="shared" ref="G67:G98" si="61">(C67-$C$134)*(H67-$C$134)</f>
        <v>7488.8044651056007</v>
      </c>
      <c r="H67" s="15">
        <f t="shared" ref="H67:H98" si="62">C66</f>
        <v>318</v>
      </c>
      <c r="I67">
        <f t="shared" si="60"/>
        <v>48825.045454545456</v>
      </c>
      <c r="J67" s="15">
        <f t="shared" si="33"/>
        <v>385</v>
      </c>
      <c r="K67">
        <f t="shared" si="34"/>
        <v>1950.3802226813584</v>
      </c>
      <c r="L67" s="15">
        <f t="shared" si="35"/>
        <v>254</v>
      </c>
      <c r="M67">
        <f t="shared" si="36"/>
        <v>-472.68038337924753</v>
      </c>
      <c r="N67" s="15">
        <f t="shared" si="37"/>
        <v>226</v>
      </c>
      <c r="O67">
        <f t="shared" si="38"/>
        <v>6796.5014348025697</v>
      </c>
      <c r="P67" s="15">
        <f t="shared" si="39"/>
        <v>310</v>
      </c>
      <c r="Q67">
        <f t="shared" si="40"/>
        <v>-12155.294019742883</v>
      </c>
      <c r="R67" s="15">
        <f t="shared" si="41"/>
        <v>91</v>
      </c>
      <c r="S67">
        <f t="shared" si="42"/>
        <v>-3761.1197773186414</v>
      </c>
      <c r="T67" s="15">
        <f t="shared" si="43"/>
        <v>188</v>
      </c>
      <c r="U67">
        <f t="shared" si="44"/>
        <v>-7568.7864439853074</v>
      </c>
      <c r="V67" s="15">
        <f t="shared" si="45"/>
        <v>144</v>
      </c>
      <c r="W67">
        <f t="shared" si="46"/>
        <v>-7568.7864439853074</v>
      </c>
      <c r="X67" s="15">
        <f t="shared" si="47"/>
        <v>144</v>
      </c>
      <c r="Y67">
        <f t="shared" si="48"/>
        <v>-9818.7712924701555</v>
      </c>
      <c r="Z67" s="15">
        <f t="shared" si="49"/>
        <v>118</v>
      </c>
      <c r="AA67">
        <f t="shared" si="50"/>
        <v>2729.2211317722672</v>
      </c>
      <c r="AB67" s="15">
        <f t="shared" si="51"/>
        <v>263</v>
      </c>
      <c r="AC67">
        <f t="shared" si="52"/>
        <v>1171.5393135904494</v>
      </c>
      <c r="AD67" s="15">
        <f t="shared" si="53"/>
        <v>245</v>
      </c>
      <c r="AE67" s="27">
        <f t="shared" si="54"/>
        <v>18219.501434802569</v>
      </c>
      <c r="AF67" s="15">
        <f t="shared" si="55"/>
        <v>442</v>
      </c>
      <c r="AG67">
        <f t="shared" si="56"/>
        <v>16056.054465105601</v>
      </c>
      <c r="AH67" s="15">
        <f t="shared" si="57"/>
        <v>417</v>
      </c>
      <c r="AI67">
        <f t="shared" si="58"/>
        <v>-559.21826216712634</v>
      </c>
      <c r="AJ67" s="15">
        <f t="shared" si="59"/>
        <v>225</v>
      </c>
    </row>
    <row r="68" spans="1:36" x14ac:dyDescent="0.25">
      <c r="A68" s="15"/>
      <c r="B68" s="15">
        <v>7</v>
      </c>
      <c r="C68" s="15">
        <v>181</v>
      </c>
      <c r="D68" s="15">
        <v>231.46212121212122</v>
      </c>
      <c r="E68" s="15">
        <v>257.08333333333331</v>
      </c>
      <c r="F68" s="15">
        <f>(C68-C134)^2</f>
        <v>2546.4256772268141</v>
      </c>
      <c r="G68">
        <f t="shared" si="61"/>
        <v>-4366.8849288337924</v>
      </c>
      <c r="H68" s="15">
        <f t="shared" si="62"/>
        <v>318</v>
      </c>
      <c r="I68">
        <f t="shared" si="60"/>
        <v>15663.35606060606</v>
      </c>
      <c r="J68" s="15">
        <f t="shared" ref="J68:J99" si="63">H67</f>
        <v>318</v>
      </c>
      <c r="K68">
        <f t="shared" si="34"/>
        <v>-7747.8470500459143</v>
      </c>
      <c r="L68" s="15">
        <f t="shared" si="35"/>
        <v>385</v>
      </c>
      <c r="M68">
        <f t="shared" si="36"/>
        <v>-1137.3091712580347</v>
      </c>
      <c r="N68" s="15">
        <f t="shared" si="37"/>
        <v>254</v>
      </c>
      <c r="O68">
        <f t="shared" si="38"/>
        <v>275.63022268135938</v>
      </c>
      <c r="P68" s="15">
        <f t="shared" si="39"/>
        <v>226</v>
      </c>
      <c r="Q68">
        <f t="shared" si="40"/>
        <v>-3963.1879591368229</v>
      </c>
      <c r="R68" s="15">
        <f t="shared" si="41"/>
        <v>310</v>
      </c>
      <c r="S68">
        <f t="shared" si="42"/>
        <v>7088.0165863177235</v>
      </c>
      <c r="T68" s="15">
        <f t="shared" si="43"/>
        <v>91</v>
      </c>
      <c r="U68">
        <f t="shared" si="44"/>
        <v>2193.1908287419656</v>
      </c>
      <c r="V68" s="15">
        <f t="shared" si="45"/>
        <v>188</v>
      </c>
      <c r="W68">
        <f t="shared" si="46"/>
        <v>4413.5241620752995</v>
      </c>
      <c r="X68" s="15">
        <f t="shared" si="47"/>
        <v>144</v>
      </c>
      <c r="Y68">
        <f t="shared" si="48"/>
        <v>4413.5241620752995</v>
      </c>
      <c r="Z68" s="15">
        <f t="shared" si="49"/>
        <v>144</v>
      </c>
      <c r="AA68">
        <f t="shared" si="50"/>
        <v>5725.5393135904505</v>
      </c>
      <c r="AB68" s="15">
        <f t="shared" si="51"/>
        <v>118</v>
      </c>
      <c r="AC68">
        <f t="shared" si="52"/>
        <v>-1591.4682621671257</v>
      </c>
      <c r="AD68" s="15">
        <f t="shared" si="53"/>
        <v>263</v>
      </c>
      <c r="AE68" s="27">
        <f t="shared" si="54"/>
        <v>-683.15008034894379</v>
      </c>
      <c r="AF68" s="15">
        <f t="shared" si="55"/>
        <v>245</v>
      </c>
      <c r="AG68">
        <f t="shared" si="56"/>
        <v>-10624.187959136823</v>
      </c>
      <c r="AH68" s="15">
        <f t="shared" si="57"/>
        <v>442</v>
      </c>
      <c r="AI68">
        <f t="shared" si="58"/>
        <v>-9362.6349288337933</v>
      </c>
      <c r="AJ68" s="15">
        <f t="shared" si="59"/>
        <v>417</v>
      </c>
    </row>
    <row r="69" spans="1:36" x14ac:dyDescent="0.25">
      <c r="A69" s="15"/>
      <c r="B69" s="15">
        <v>8</v>
      </c>
      <c r="C69" s="15">
        <v>173</v>
      </c>
      <c r="D69" s="15">
        <v>231.46212121212122</v>
      </c>
      <c r="E69" s="15">
        <v>257.08333333333331</v>
      </c>
      <c r="F69" s="15">
        <f>(C69-C134)^2</f>
        <v>3417.8196166207535</v>
      </c>
      <c r="G69">
        <f t="shared" si="61"/>
        <v>2950.122646923784</v>
      </c>
      <c r="H69" s="15">
        <f t="shared" si="62"/>
        <v>181</v>
      </c>
      <c r="I69">
        <f t="shared" si="60"/>
        <v>14971.05303030303</v>
      </c>
      <c r="J69" s="15">
        <f t="shared" si="63"/>
        <v>318</v>
      </c>
      <c r="K69">
        <f t="shared" ref="K69:K100" si="64">(C69-$C$134)*(L69-$C$134)</f>
        <v>-5059.1879591368233</v>
      </c>
      <c r="L69" s="15">
        <f t="shared" ref="L69:L100" si="65">J68</f>
        <v>318</v>
      </c>
      <c r="M69">
        <f t="shared" si="36"/>
        <v>-8976.1500803489453</v>
      </c>
      <c r="N69" s="15">
        <f t="shared" si="37"/>
        <v>385</v>
      </c>
      <c r="O69">
        <f t="shared" si="38"/>
        <v>-1317.6122015610649</v>
      </c>
      <c r="P69" s="15">
        <f t="shared" si="39"/>
        <v>254</v>
      </c>
      <c r="Q69">
        <f t="shared" si="40"/>
        <v>319.32719237832913</v>
      </c>
      <c r="R69" s="15">
        <f t="shared" si="41"/>
        <v>226</v>
      </c>
      <c r="S69">
        <f t="shared" si="42"/>
        <v>-4591.4909894398534</v>
      </c>
      <c r="T69" s="15">
        <f t="shared" si="43"/>
        <v>310</v>
      </c>
      <c r="U69">
        <f t="shared" si="44"/>
        <v>8211.7135560146944</v>
      </c>
      <c r="V69" s="15">
        <f t="shared" si="45"/>
        <v>91</v>
      </c>
      <c r="W69">
        <f t="shared" si="46"/>
        <v>2540.8877984389355</v>
      </c>
      <c r="X69" s="15">
        <f t="shared" si="47"/>
        <v>188</v>
      </c>
      <c r="Y69">
        <f t="shared" si="48"/>
        <v>5113.2211317722686</v>
      </c>
      <c r="Z69" s="15">
        <f t="shared" si="49"/>
        <v>144</v>
      </c>
      <c r="AA69">
        <f t="shared" si="50"/>
        <v>5113.2211317722686</v>
      </c>
      <c r="AB69" s="15">
        <f t="shared" si="51"/>
        <v>144</v>
      </c>
      <c r="AC69">
        <f t="shared" si="52"/>
        <v>6633.2362832874205</v>
      </c>
      <c r="AD69" s="15">
        <f t="shared" si="53"/>
        <v>118</v>
      </c>
      <c r="AE69" s="27">
        <f t="shared" si="54"/>
        <v>-1843.7712924701559</v>
      </c>
      <c r="AF69" s="15">
        <f t="shared" si="55"/>
        <v>263</v>
      </c>
      <c r="AG69">
        <f t="shared" si="56"/>
        <v>-791.45311065197404</v>
      </c>
      <c r="AH69" s="15">
        <f t="shared" si="57"/>
        <v>245</v>
      </c>
      <c r="AI69">
        <f t="shared" si="58"/>
        <v>-12308.490989439853</v>
      </c>
      <c r="AJ69" s="15">
        <f t="shared" si="59"/>
        <v>442</v>
      </c>
    </row>
    <row r="70" spans="1:36" x14ac:dyDescent="0.25">
      <c r="A70" s="15"/>
      <c r="B70" s="15">
        <v>9</v>
      </c>
      <c r="C70" s="15">
        <v>248</v>
      </c>
      <c r="D70" s="15">
        <v>231.46212121212122</v>
      </c>
      <c r="E70" s="15">
        <v>257.08333333333331</v>
      </c>
      <c r="F70" s="15">
        <f>(C70-C134)^2</f>
        <v>273.50143480257094</v>
      </c>
      <c r="G70">
        <f t="shared" si="61"/>
        <v>-966.83947428833767</v>
      </c>
      <c r="H70" s="15">
        <f t="shared" si="62"/>
        <v>173</v>
      </c>
      <c r="I70">
        <f t="shared" si="60"/>
        <v>-12514.606060606062</v>
      </c>
      <c r="J70" s="15">
        <f t="shared" si="63"/>
        <v>181</v>
      </c>
      <c r="K70">
        <f t="shared" si="64"/>
        <v>1431.1529499540857</v>
      </c>
      <c r="L70" s="15">
        <f t="shared" si="65"/>
        <v>318</v>
      </c>
      <c r="M70">
        <f t="shared" ref="M70:M101" si="66">(C70-$C$134)*(N70-$C$134)</f>
        <v>1431.1529499540857</v>
      </c>
      <c r="N70" s="15">
        <f t="shared" ref="N70:N101" si="67">L69</f>
        <v>318</v>
      </c>
      <c r="O70">
        <f t="shared" si="38"/>
        <v>2539.1908287419642</v>
      </c>
      <c r="P70" s="15">
        <f t="shared" si="39"/>
        <v>385</v>
      </c>
      <c r="Q70">
        <f t="shared" si="40"/>
        <v>372.72870752984363</v>
      </c>
      <c r="R70" s="15">
        <f t="shared" si="41"/>
        <v>254</v>
      </c>
      <c r="S70">
        <f t="shared" si="42"/>
        <v>-90.331898530762231</v>
      </c>
      <c r="T70" s="15">
        <f t="shared" si="43"/>
        <v>226</v>
      </c>
      <c r="U70">
        <f t="shared" si="44"/>
        <v>1298.8499196510554</v>
      </c>
      <c r="V70" s="15">
        <f t="shared" si="45"/>
        <v>310</v>
      </c>
      <c r="W70">
        <f t="shared" si="46"/>
        <v>-2322.945534894398</v>
      </c>
      <c r="X70" s="15">
        <f t="shared" si="47"/>
        <v>91</v>
      </c>
      <c r="Y70">
        <f t="shared" si="48"/>
        <v>-718.77129247015591</v>
      </c>
      <c r="Z70" s="15">
        <f t="shared" si="49"/>
        <v>188</v>
      </c>
      <c r="AA70">
        <f t="shared" si="50"/>
        <v>-1446.4379591368224</v>
      </c>
      <c r="AB70" s="15">
        <f t="shared" si="51"/>
        <v>144</v>
      </c>
      <c r="AC70">
        <f t="shared" si="52"/>
        <v>-1446.4379591368224</v>
      </c>
      <c r="AD70" s="15">
        <f t="shared" si="53"/>
        <v>144</v>
      </c>
      <c r="AE70" s="27">
        <f t="shared" si="54"/>
        <v>-1876.4228076216707</v>
      </c>
      <c r="AF70" s="15">
        <f t="shared" si="55"/>
        <v>118</v>
      </c>
      <c r="AG70">
        <f t="shared" si="56"/>
        <v>521.56961662075264</v>
      </c>
      <c r="AH70" s="15">
        <f t="shared" si="57"/>
        <v>263</v>
      </c>
      <c r="AI70">
        <f t="shared" si="58"/>
        <v>223.88779843893462</v>
      </c>
      <c r="AJ70" s="15">
        <f t="shared" si="59"/>
        <v>245</v>
      </c>
    </row>
    <row r="71" spans="1:36" x14ac:dyDescent="0.25">
      <c r="A71" s="15"/>
      <c r="B71" s="15">
        <v>10</v>
      </c>
      <c r="C71" s="15">
        <v>262</v>
      </c>
      <c r="D71" s="15">
        <v>231.46212121212122</v>
      </c>
      <c r="E71" s="15">
        <v>257.08333333333331</v>
      </c>
      <c r="F71" s="15">
        <f>(C71-C134)^2</f>
        <v>932.56204086317689</v>
      </c>
      <c r="G71">
        <f t="shared" si="61"/>
        <v>505.03173783287389</v>
      </c>
      <c r="H71" s="15">
        <f t="shared" si="62"/>
        <v>248</v>
      </c>
      <c r="I71">
        <f t="shared" si="60"/>
        <v>-15317.07575757576</v>
      </c>
      <c r="J71" s="15">
        <f t="shared" si="63"/>
        <v>173</v>
      </c>
      <c r="K71">
        <f t="shared" si="64"/>
        <v>-1541.0061409550044</v>
      </c>
      <c r="L71" s="15">
        <f t="shared" si="65"/>
        <v>181</v>
      </c>
      <c r="M71">
        <f t="shared" si="66"/>
        <v>2642.6832529843887</v>
      </c>
      <c r="N71" s="15">
        <f t="shared" si="67"/>
        <v>318</v>
      </c>
      <c r="O71">
        <f t="shared" ref="O71:O102" si="68">(C71-$C$134)*(P71-$C$134)</f>
        <v>2642.6832529843887</v>
      </c>
      <c r="P71" s="15">
        <f t="shared" ref="P71:P102" si="69">N70</f>
        <v>318</v>
      </c>
      <c r="Q71">
        <f t="shared" si="40"/>
        <v>4688.7211317722667</v>
      </c>
      <c r="R71" s="15">
        <f t="shared" si="41"/>
        <v>385</v>
      </c>
      <c r="S71">
        <f t="shared" si="42"/>
        <v>688.25901056014663</v>
      </c>
      <c r="T71" s="15">
        <f t="shared" si="43"/>
        <v>254</v>
      </c>
      <c r="U71">
        <f t="shared" si="44"/>
        <v>-166.80159550045929</v>
      </c>
      <c r="V71" s="15">
        <f t="shared" si="45"/>
        <v>226</v>
      </c>
      <c r="W71">
        <f t="shared" si="46"/>
        <v>2398.3802226813582</v>
      </c>
      <c r="X71" s="15">
        <f t="shared" si="47"/>
        <v>310</v>
      </c>
      <c r="Y71">
        <f t="shared" si="48"/>
        <v>-4289.4152318640945</v>
      </c>
      <c r="Z71" s="15">
        <f t="shared" si="49"/>
        <v>91</v>
      </c>
      <c r="AA71">
        <f t="shared" si="50"/>
        <v>-1327.2409894398529</v>
      </c>
      <c r="AB71" s="15">
        <f t="shared" si="51"/>
        <v>188</v>
      </c>
      <c r="AC71">
        <f t="shared" si="52"/>
        <v>-2670.9076561065194</v>
      </c>
      <c r="AD71" s="15">
        <f t="shared" si="53"/>
        <v>144</v>
      </c>
      <c r="AE71" s="27">
        <f t="shared" si="54"/>
        <v>-2670.9076561065194</v>
      </c>
      <c r="AF71" s="15">
        <f t="shared" si="55"/>
        <v>144</v>
      </c>
      <c r="AG71">
        <f t="shared" si="56"/>
        <v>-3464.8925045913679</v>
      </c>
      <c r="AH71" s="15">
        <f t="shared" si="57"/>
        <v>118</v>
      </c>
      <c r="AI71">
        <f t="shared" si="58"/>
        <v>963.09991965105564</v>
      </c>
      <c r="AJ71" s="15">
        <f t="shared" si="59"/>
        <v>263</v>
      </c>
    </row>
    <row r="72" spans="1:36" x14ac:dyDescent="0.25">
      <c r="A72" s="15"/>
      <c r="B72" s="15">
        <v>11</v>
      </c>
      <c r="C72" s="15">
        <v>209</v>
      </c>
      <c r="D72" s="15">
        <v>231.46212121212122</v>
      </c>
      <c r="E72" s="15">
        <v>257.08333333333331</v>
      </c>
      <c r="F72" s="15">
        <f>(C72-C134)^2</f>
        <v>504.54688934802596</v>
      </c>
      <c r="G72">
        <f t="shared" si="61"/>
        <v>-685.94553489439863</v>
      </c>
      <c r="H72" s="15">
        <f t="shared" si="62"/>
        <v>262</v>
      </c>
      <c r="I72">
        <f t="shared" si="60"/>
        <v>3456.4166666666656</v>
      </c>
      <c r="J72" s="15">
        <f t="shared" si="63"/>
        <v>248</v>
      </c>
      <c r="K72">
        <f t="shared" si="64"/>
        <v>1313.1832529843898</v>
      </c>
      <c r="L72" s="15">
        <f t="shared" si="65"/>
        <v>173</v>
      </c>
      <c r="M72">
        <f t="shared" si="66"/>
        <v>1133.4862832874201</v>
      </c>
      <c r="N72" s="15">
        <f t="shared" si="67"/>
        <v>181</v>
      </c>
      <c r="O72">
        <f t="shared" si="68"/>
        <v>-1943.8243227731869</v>
      </c>
      <c r="P72" s="15">
        <f t="shared" si="69"/>
        <v>318</v>
      </c>
      <c r="Q72">
        <f t="shared" ref="Q72:Q103" si="70">(C72-$C$134)*(R72-$C$134)</f>
        <v>-1943.8243227731869</v>
      </c>
      <c r="R72" s="15">
        <f t="shared" ref="R72:R103" si="71">P71</f>
        <v>318</v>
      </c>
      <c r="S72">
        <f t="shared" si="42"/>
        <v>-3448.7864439853083</v>
      </c>
      <c r="T72" s="15">
        <f t="shared" si="43"/>
        <v>385</v>
      </c>
      <c r="U72">
        <f t="shared" si="44"/>
        <v>-506.24856519742883</v>
      </c>
      <c r="V72" s="15">
        <f t="shared" si="45"/>
        <v>254</v>
      </c>
      <c r="W72">
        <f t="shared" si="46"/>
        <v>122.69082874196528</v>
      </c>
      <c r="X72" s="15">
        <f t="shared" si="47"/>
        <v>226</v>
      </c>
      <c r="Y72">
        <f t="shared" si="48"/>
        <v>-1764.1273530762171</v>
      </c>
      <c r="Z72" s="15">
        <f t="shared" si="49"/>
        <v>310</v>
      </c>
      <c r="AA72">
        <f t="shared" si="50"/>
        <v>3155.0771923783295</v>
      </c>
      <c r="AB72" s="15">
        <f t="shared" si="51"/>
        <v>91</v>
      </c>
      <c r="AC72">
        <f t="shared" si="52"/>
        <v>976.25143480257157</v>
      </c>
      <c r="AD72" s="15">
        <f t="shared" si="53"/>
        <v>188</v>
      </c>
      <c r="AE72" s="27">
        <f t="shared" si="54"/>
        <v>1964.5847681359051</v>
      </c>
      <c r="AF72" s="15">
        <f t="shared" si="55"/>
        <v>144</v>
      </c>
      <c r="AG72">
        <f t="shared" si="56"/>
        <v>1964.5847681359051</v>
      </c>
      <c r="AH72" s="15">
        <f t="shared" si="57"/>
        <v>144</v>
      </c>
      <c r="AI72">
        <f t="shared" si="58"/>
        <v>2548.599919651057</v>
      </c>
      <c r="AJ72" s="15">
        <f t="shared" si="59"/>
        <v>118</v>
      </c>
    </row>
    <row r="73" spans="1:36" x14ac:dyDescent="0.25">
      <c r="A73" s="15">
        <v>2017</v>
      </c>
      <c r="B73" s="15">
        <v>12</v>
      </c>
      <c r="C73" s="15">
        <v>201</v>
      </c>
      <c r="D73" s="15">
        <v>231.46212121212122</v>
      </c>
      <c r="E73" s="15">
        <f>SUM(C62:C73)/COUNT(C62:C73)</f>
        <v>257.08333333333331</v>
      </c>
      <c r="F73" s="15">
        <f>(C73-C134)^2</f>
        <v>927.94082874196545</v>
      </c>
      <c r="G73">
        <f t="shared" si="61"/>
        <v>684.2438590449957</v>
      </c>
      <c r="H73" s="15">
        <f t="shared" si="62"/>
        <v>209</v>
      </c>
      <c r="I73">
        <f t="shared" si="60"/>
        <v>6138.1136363636351</v>
      </c>
      <c r="J73" s="15">
        <f t="shared" si="63"/>
        <v>262</v>
      </c>
      <c r="K73">
        <f t="shared" si="64"/>
        <v>-503.77886822773178</v>
      </c>
      <c r="L73" s="15">
        <f t="shared" si="65"/>
        <v>248</v>
      </c>
      <c r="M73">
        <f t="shared" si="66"/>
        <v>1780.8802226813596</v>
      </c>
      <c r="N73" s="15">
        <f t="shared" si="67"/>
        <v>173</v>
      </c>
      <c r="O73">
        <f t="shared" si="68"/>
        <v>1537.1832529843898</v>
      </c>
      <c r="P73" s="15">
        <f t="shared" si="69"/>
        <v>181</v>
      </c>
      <c r="Q73">
        <f t="shared" si="70"/>
        <v>-2636.1273530762169</v>
      </c>
      <c r="R73" s="15">
        <f t="shared" si="71"/>
        <v>318</v>
      </c>
      <c r="S73">
        <f t="shared" ref="S73:S104" si="72">(C73-$C$134)*(T73-$C$134)</f>
        <v>-2636.1273530762169</v>
      </c>
      <c r="T73" s="15">
        <f t="shared" ref="T73:T104" si="73">R72</f>
        <v>318</v>
      </c>
      <c r="U73">
        <f t="shared" si="44"/>
        <v>-4677.0894742883384</v>
      </c>
      <c r="V73" s="15">
        <f t="shared" si="45"/>
        <v>385</v>
      </c>
      <c r="W73">
        <f t="shared" si="46"/>
        <v>-686.55159550045914</v>
      </c>
      <c r="X73" s="15">
        <f t="shared" si="47"/>
        <v>254</v>
      </c>
      <c r="Y73">
        <f t="shared" si="48"/>
        <v>166.38779843893502</v>
      </c>
      <c r="Z73" s="15">
        <f t="shared" si="49"/>
        <v>226</v>
      </c>
      <c r="AA73">
        <f t="shared" si="50"/>
        <v>-2392.4303833792474</v>
      </c>
      <c r="AB73" s="15">
        <f t="shared" si="51"/>
        <v>310</v>
      </c>
      <c r="AC73">
        <f t="shared" si="52"/>
        <v>4278.7741620752995</v>
      </c>
      <c r="AD73" s="15">
        <f t="shared" si="53"/>
        <v>91</v>
      </c>
      <c r="AE73" s="27">
        <f t="shared" si="54"/>
        <v>1323.9484044995413</v>
      </c>
      <c r="AF73" s="15">
        <f t="shared" si="55"/>
        <v>188</v>
      </c>
      <c r="AG73">
        <f t="shared" si="56"/>
        <v>2664.281737832875</v>
      </c>
      <c r="AH73" s="15">
        <f t="shared" si="57"/>
        <v>144</v>
      </c>
      <c r="AI73">
        <f t="shared" si="58"/>
        <v>2664.281737832875</v>
      </c>
      <c r="AJ73" s="15">
        <f t="shared" si="59"/>
        <v>144</v>
      </c>
    </row>
    <row r="74" spans="1:36" x14ac:dyDescent="0.25">
      <c r="A74" s="15"/>
      <c r="B74" s="15">
        <v>1</v>
      </c>
      <c r="C74" s="15">
        <v>313</v>
      </c>
      <c r="D74" s="15">
        <v>231.46212121212122</v>
      </c>
      <c r="E74" s="15">
        <v>221.83333333333334</v>
      </c>
      <c r="F74" s="15">
        <f>(C74-C134)^2</f>
        <v>6648.4256772268127</v>
      </c>
      <c r="G74">
        <f t="shared" si="61"/>
        <v>-2483.8167470156109</v>
      </c>
      <c r="H74" s="15">
        <f t="shared" si="62"/>
        <v>201</v>
      </c>
      <c r="I74">
        <f t="shared" si="60"/>
        <v>-7030.6439393939409</v>
      </c>
      <c r="J74" s="15">
        <f t="shared" si="63"/>
        <v>209</v>
      </c>
      <c r="K74">
        <f t="shared" si="64"/>
        <v>2489.9938590449947</v>
      </c>
      <c r="L74" s="15">
        <f t="shared" si="65"/>
        <v>262</v>
      </c>
      <c r="M74">
        <f t="shared" si="66"/>
        <v>1348.4635560146917</v>
      </c>
      <c r="N74" s="15">
        <f t="shared" si="67"/>
        <v>248</v>
      </c>
      <c r="O74">
        <f t="shared" si="68"/>
        <v>-4766.8773530762164</v>
      </c>
      <c r="P74" s="15">
        <f t="shared" si="69"/>
        <v>173</v>
      </c>
      <c r="Q74">
        <f t="shared" si="70"/>
        <v>-4114.5743227731864</v>
      </c>
      <c r="R74" s="15">
        <f t="shared" si="71"/>
        <v>181</v>
      </c>
      <c r="S74">
        <f t="shared" si="72"/>
        <v>7056.1150711662067</v>
      </c>
      <c r="T74" s="15">
        <f t="shared" si="73"/>
        <v>318</v>
      </c>
      <c r="U74">
        <f t="shared" ref="U74:U105" si="74">(C74-$C$134)*(V74-$C$134)</f>
        <v>7056.1150711662067</v>
      </c>
      <c r="V74" s="15">
        <f t="shared" ref="V74:V105" si="75">T73</f>
        <v>318</v>
      </c>
      <c r="W74">
        <f t="shared" si="46"/>
        <v>12519.152949954085</v>
      </c>
      <c r="X74" s="15">
        <f t="shared" si="47"/>
        <v>385</v>
      </c>
      <c r="Y74">
        <f t="shared" si="48"/>
        <v>1837.6908287419644</v>
      </c>
      <c r="Z74" s="15">
        <f t="shared" si="49"/>
        <v>254</v>
      </c>
      <c r="AA74">
        <f t="shared" si="50"/>
        <v>-445.36977731864141</v>
      </c>
      <c r="AB74" s="15">
        <f t="shared" si="51"/>
        <v>226</v>
      </c>
      <c r="AC74">
        <f t="shared" si="52"/>
        <v>6403.8120408631767</v>
      </c>
      <c r="AD74" s="15">
        <f t="shared" si="53"/>
        <v>310</v>
      </c>
      <c r="AE74" s="27">
        <f t="shared" si="54"/>
        <v>-11452.983413682277</v>
      </c>
      <c r="AF74" s="15">
        <f t="shared" si="55"/>
        <v>91</v>
      </c>
      <c r="AG74">
        <f t="shared" si="56"/>
        <v>-3543.8091712580353</v>
      </c>
      <c r="AH74" s="15">
        <f t="shared" si="57"/>
        <v>188</v>
      </c>
      <c r="AI74">
        <f t="shared" si="58"/>
        <v>-7131.4758379247014</v>
      </c>
      <c r="AJ74" s="15">
        <f t="shared" si="59"/>
        <v>144</v>
      </c>
    </row>
    <row r="75" spans="1:36" x14ac:dyDescent="0.25">
      <c r="A75" s="15"/>
      <c r="B75" s="15">
        <v>2</v>
      </c>
      <c r="C75" s="15">
        <v>144</v>
      </c>
      <c r="D75" s="15">
        <v>231.46212121212122</v>
      </c>
      <c r="E75" s="15">
        <v>221.83333333333334</v>
      </c>
      <c r="F75" s="15">
        <f>(C75-C134)^2</f>
        <v>7649.6226469237845</v>
      </c>
      <c r="G75">
        <f t="shared" si="61"/>
        <v>-7131.4758379247014</v>
      </c>
      <c r="H75" s="15">
        <f t="shared" si="62"/>
        <v>313</v>
      </c>
      <c r="I75">
        <f t="shared" si="60"/>
        <v>-4386.5454545454559</v>
      </c>
      <c r="J75" s="15">
        <f t="shared" si="63"/>
        <v>201</v>
      </c>
      <c r="K75">
        <f t="shared" si="64"/>
        <v>1964.5847681359051</v>
      </c>
      <c r="L75" s="15">
        <f t="shared" si="65"/>
        <v>209</v>
      </c>
      <c r="M75">
        <f t="shared" si="66"/>
        <v>-2670.9076561065194</v>
      </c>
      <c r="N75" s="15">
        <f t="shared" si="67"/>
        <v>262</v>
      </c>
      <c r="O75">
        <f t="shared" si="68"/>
        <v>-1446.4379591368224</v>
      </c>
      <c r="P75" s="15">
        <f t="shared" si="69"/>
        <v>248</v>
      </c>
      <c r="Q75">
        <f t="shared" si="70"/>
        <v>5113.2211317722686</v>
      </c>
      <c r="R75" s="15">
        <f t="shared" si="71"/>
        <v>173</v>
      </c>
      <c r="S75">
        <f t="shared" si="72"/>
        <v>4413.5241620752995</v>
      </c>
      <c r="T75" s="15">
        <f t="shared" si="73"/>
        <v>181</v>
      </c>
      <c r="U75">
        <f t="shared" si="74"/>
        <v>-7568.7864439853074</v>
      </c>
      <c r="V75" s="15">
        <f t="shared" si="75"/>
        <v>318</v>
      </c>
      <c r="W75">
        <f t="shared" ref="W75:W106" si="76">(C75-$C$134)*(X75-$C$134)</f>
        <v>-7568.7864439853074</v>
      </c>
      <c r="X75" s="15">
        <f t="shared" ref="X75:X106" si="77">V74</f>
        <v>318</v>
      </c>
      <c r="Y75">
        <f t="shared" si="48"/>
        <v>-13428.748565197429</v>
      </c>
      <c r="Z75" s="15">
        <f t="shared" si="49"/>
        <v>385</v>
      </c>
      <c r="AA75">
        <f t="shared" si="50"/>
        <v>-1971.2106864095497</v>
      </c>
      <c r="AB75" s="15">
        <f t="shared" si="51"/>
        <v>254</v>
      </c>
      <c r="AC75">
        <f t="shared" si="52"/>
        <v>477.72870752984443</v>
      </c>
      <c r="AD75" s="15">
        <f t="shared" si="53"/>
        <v>226</v>
      </c>
      <c r="AE75" s="27">
        <f t="shared" si="54"/>
        <v>-6869.0894742883374</v>
      </c>
      <c r="AF75" s="15">
        <f t="shared" si="55"/>
        <v>310</v>
      </c>
      <c r="AG75">
        <f t="shared" si="56"/>
        <v>12285.115071166209</v>
      </c>
      <c r="AH75" s="15">
        <f t="shared" si="57"/>
        <v>91</v>
      </c>
      <c r="AI75">
        <f t="shared" si="58"/>
        <v>3801.2893135904505</v>
      </c>
      <c r="AJ75" s="15">
        <f t="shared" si="59"/>
        <v>188</v>
      </c>
    </row>
    <row r="76" spans="1:36" x14ac:dyDescent="0.25">
      <c r="A76" s="15"/>
      <c r="B76" s="15">
        <v>3</v>
      </c>
      <c r="C76" s="15">
        <v>206</v>
      </c>
      <c r="D76" s="15">
        <v>231.46212121212122</v>
      </c>
      <c r="E76" s="15">
        <v>221.83333333333334</v>
      </c>
      <c r="F76" s="15">
        <f>(C76-C134)^2</f>
        <v>648.31961662075332</v>
      </c>
      <c r="G76">
        <f t="shared" si="61"/>
        <v>2226.971131772269</v>
      </c>
      <c r="H76" s="15">
        <f t="shared" si="62"/>
        <v>144</v>
      </c>
      <c r="I76">
        <f t="shared" si="60"/>
        <v>16796.803030303028</v>
      </c>
      <c r="J76" s="15">
        <f t="shared" si="63"/>
        <v>313</v>
      </c>
      <c r="K76">
        <f t="shared" si="64"/>
        <v>775.63022268135933</v>
      </c>
      <c r="L76" s="15">
        <f t="shared" si="65"/>
        <v>201</v>
      </c>
      <c r="M76">
        <f t="shared" si="66"/>
        <v>571.93325298438958</v>
      </c>
      <c r="N76" s="15">
        <f t="shared" si="67"/>
        <v>209</v>
      </c>
      <c r="O76">
        <f t="shared" si="68"/>
        <v>-777.55917125803489</v>
      </c>
      <c r="P76" s="15">
        <f t="shared" si="69"/>
        <v>262</v>
      </c>
      <c r="Q76">
        <f t="shared" si="70"/>
        <v>-421.0894742883379</v>
      </c>
      <c r="R76" s="15">
        <f t="shared" si="71"/>
        <v>248</v>
      </c>
      <c r="S76">
        <f t="shared" si="72"/>
        <v>1488.5696166207535</v>
      </c>
      <c r="T76" s="15">
        <f t="shared" si="73"/>
        <v>173</v>
      </c>
      <c r="U76">
        <f t="shared" si="74"/>
        <v>1284.8726469237838</v>
      </c>
      <c r="V76" s="15">
        <f t="shared" si="75"/>
        <v>181</v>
      </c>
      <c r="W76">
        <f t="shared" si="76"/>
        <v>-2203.4379591368233</v>
      </c>
      <c r="X76" s="15">
        <f t="shared" si="77"/>
        <v>318</v>
      </c>
      <c r="Y76">
        <f t="shared" ref="Y76:Y107" si="78">(C76-$C$134)*(Z76-$C$134)</f>
        <v>-2203.4379591368233</v>
      </c>
      <c r="Z76" s="15">
        <f t="shared" ref="Z76:Z107" si="79">X75</f>
        <v>318</v>
      </c>
      <c r="AA76">
        <f t="shared" si="50"/>
        <v>-3909.4000803489448</v>
      </c>
      <c r="AB76" s="15">
        <f t="shared" si="51"/>
        <v>385</v>
      </c>
      <c r="AC76">
        <f t="shared" si="52"/>
        <v>-573.86220156106515</v>
      </c>
      <c r="AD76" s="15">
        <f t="shared" si="53"/>
        <v>254</v>
      </c>
      <c r="AE76" s="27">
        <f t="shared" si="54"/>
        <v>139.07719237832893</v>
      </c>
      <c r="AF76" s="15">
        <f t="shared" si="55"/>
        <v>226</v>
      </c>
      <c r="AG76">
        <f t="shared" si="56"/>
        <v>-1999.7409894398534</v>
      </c>
      <c r="AH76" s="15">
        <f t="shared" si="57"/>
        <v>310</v>
      </c>
      <c r="AI76">
        <f t="shared" si="58"/>
        <v>3576.4635560146935</v>
      </c>
      <c r="AJ76" s="15">
        <f t="shared" si="59"/>
        <v>91</v>
      </c>
    </row>
    <row r="77" spans="1:36" x14ac:dyDescent="0.25">
      <c r="A77" s="15"/>
      <c r="B77" s="15">
        <v>4</v>
      </c>
      <c r="C77" s="15">
        <v>300</v>
      </c>
      <c r="D77" s="15">
        <v>231.46212121212122</v>
      </c>
      <c r="E77" s="15">
        <v>221.83333333333334</v>
      </c>
      <c r="F77" s="15">
        <f>(C77-C134)^2</f>
        <v>4697.4408287419647</v>
      </c>
      <c r="G77">
        <f t="shared" si="61"/>
        <v>-1745.1197773186411</v>
      </c>
      <c r="H77" s="15">
        <f t="shared" si="62"/>
        <v>206</v>
      </c>
      <c r="I77">
        <f t="shared" si="60"/>
        <v>-26238.636363636364</v>
      </c>
      <c r="J77" s="15">
        <f t="shared" si="63"/>
        <v>144</v>
      </c>
      <c r="K77">
        <f t="shared" si="64"/>
        <v>5588.4332529843887</v>
      </c>
      <c r="L77" s="15">
        <f t="shared" si="65"/>
        <v>313</v>
      </c>
      <c r="M77">
        <f t="shared" si="66"/>
        <v>-2087.8091712580353</v>
      </c>
      <c r="N77" s="15">
        <f t="shared" si="67"/>
        <v>201</v>
      </c>
      <c r="O77">
        <f t="shared" si="68"/>
        <v>-1539.5061409550049</v>
      </c>
      <c r="P77" s="15">
        <f t="shared" si="69"/>
        <v>209</v>
      </c>
      <c r="Q77">
        <f t="shared" si="70"/>
        <v>2093.0014348025707</v>
      </c>
      <c r="R77" s="15">
        <f t="shared" si="71"/>
        <v>262</v>
      </c>
      <c r="S77">
        <f t="shared" si="72"/>
        <v>1133.4711317722677</v>
      </c>
      <c r="T77" s="15">
        <f t="shared" si="73"/>
        <v>248</v>
      </c>
      <c r="U77">
        <f t="shared" si="74"/>
        <v>-4006.8697773186409</v>
      </c>
      <c r="V77" s="15">
        <f t="shared" si="75"/>
        <v>173</v>
      </c>
      <c r="W77">
        <f t="shared" si="76"/>
        <v>-3458.5667470156109</v>
      </c>
      <c r="X77" s="15">
        <f t="shared" si="77"/>
        <v>181</v>
      </c>
      <c r="Y77">
        <f t="shared" si="78"/>
        <v>5931.1226469237827</v>
      </c>
      <c r="Z77" s="15">
        <f t="shared" si="79"/>
        <v>318</v>
      </c>
      <c r="AA77">
        <f t="shared" ref="AA77:AA108" si="80">(C77-$C$134)*(AB77-$C$134)</f>
        <v>5931.1226469237827</v>
      </c>
      <c r="AB77" s="15">
        <f t="shared" ref="AB77:AB108" si="81">Z76</f>
        <v>318</v>
      </c>
      <c r="AC77">
        <f t="shared" si="52"/>
        <v>10523.160525711661</v>
      </c>
      <c r="AD77" s="15">
        <f t="shared" si="53"/>
        <v>385</v>
      </c>
      <c r="AE77" s="27">
        <f t="shared" si="54"/>
        <v>1544.6984044995404</v>
      </c>
      <c r="AF77" s="15">
        <f t="shared" si="55"/>
        <v>254</v>
      </c>
      <c r="AG77">
        <f t="shared" si="56"/>
        <v>-374.3622015610656</v>
      </c>
      <c r="AH77" s="15">
        <f t="shared" si="57"/>
        <v>226</v>
      </c>
      <c r="AI77">
        <f t="shared" si="58"/>
        <v>5382.8196166207517</v>
      </c>
      <c r="AJ77" s="15">
        <f t="shared" si="59"/>
        <v>310</v>
      </c>
    </row>
    <row r="78" spans="1:36" x14ac:dyDescent="0.25">
      <c r="A78" s="15"/>
      <c r="B78" s="15">
        <v>5</v>
      </c>
      <c r="C78" s="15">
        <v>276</v>
      </c>
      <c r="D78" s="15">
        <v>231.46212121212122</v>
      </c>
      <c r="E78" s="15">
        <v>221.83333333333334</v>
      </c>
      <c r="F78" s="15">
        <f>(C78-C134)^2</f>
        <v>1983.6226469237827</v>
      </c>
      <c r="G78">
        <f t="shared" si="61"/>
        <v>3052.5317378328737</v>
      </c>
      <c r="H78" s="15">
        <f t="shared" si="62"/>
        <v>300</v>
      </c>
      <c r="I78">
        <f t="shared" si="60"/>
        <v>-7027.5454545454559</v>
      </c>
      <c r="J78" s="15">
        <f t="shared" si="63"/>
        <v>206</v>
      </c>
      <c r="K78">
        <f t="shared" si="64"/>
        <v>-3895.3773530762164</v>
      </c>
      <c r="L78" s="15">
        <f t="shared" si="65"/>
        <v>144</v>
      </c>
      <c r="M78">
        <f t="shared" si="66"/>
        <v>3631.5241620752977</v>
      </c>
      <c r="N78" s="15">
        <f t="shared" si="67"/>
        <v>313</v>
      </c>
      <c r="O78">
        <f t="shared" si="68"/>
        <v>-1356.7182621671259</v>
      </c>
      <c r="P78" s="15">
        <f t="shared" si="69"/>
        <v>201</v>
      </c>
      <c r="Q78">
        <f t="shared" si="70"/>
        <v>-1000.4152318640956</v>
      </c>
      <c r="R78" s="15">
        <f t="shared" si="71"/>
        <v>209</v>
      </c>
      <c r="S78">
        <f t="shared" si="72"/>
        <v>1360.0923438934799</v>
      </c>
      <c r="T78" s="15">
        <f t="shared" si="73"/>
        <v>262</v>
      </c>
      <c r="U78">
        <f t="shared" si="74"/>
        <v>736.56204086317689</v>
      </c>
      <c r="V78" s="15">
        <f t="shared" si="75"/>
        <v>248</v>
      </c>
      <c r="W78">
        <f t="shared" si="76"/>
        <v>-2603.7788682277319</v>
      </c>
      <c r="X78" s="15">
        <f t="shared" si="77"/>
        <v>173</v>
      </c>
      <c r="Y78">
        <f t="shared" si="78"/>
        <v>-2247.4758379247014</v>
      </c>
      <c r="Z78" s="15">
        <f t="shared" si="79"/>
        <v>181</v>
      </c>
      <c r="AA78">
        <f t="shared" si="80"/>
        <v>3854.2135560146917</v>
      </c>
      <c r="AB78" s="15">
        <f t="shared" si="81"/>
        <v>318</v>
      </c>
      <c r="AC78">
        <f t="shared" ref="AC78:AC109" si="82">(C78-$C$134)*(AD78-$C$134)</f>
        <v>3854.2135560146917</v>
      </c>
      <c r="AD78" s="15">
        <f t="shared" ref="AD78:AD109" si="83">AB77</f>
        <v>318</v>
      </c>
      <c r="AE78" s="27">
        <f t="shared" si="54"/>
        <v>6838.2514348025697</v>
      </c>
      <c r="AF78" s="15">
        <f t="shared" si="55"/>
        <v>385</v>
      </c>
      <c r="AG78">
        <f t="shared" si="56"/>
        <v>1003.7893135904495</v>
      </c>
      <c r="AH78" s="15">
        <f t="shared" si="57"/>
        <v>254</v>
      </c>
      <c r="AI78">
        <f t="shared" si="58"/>
        <v>-243.27129247015634</v>
      </c>
      <c r="AJ78" s="15">
        <f t="shared" si="59"/>
        <v>226</v>
      </c>
    </row>
    <row r="79" spans="1:36" x14ac:dyDescent="0.25">
      <c r="A79" s="15"/>
      <c r="B79" s="15">
        <v>6</v>
      </c>
      <c r="C79" s="15">
        <v>296</v>
      </c>
      <c r="D79" s="15">
        <v>231.46212121212122</v>
      </c>
      <c r="E79" s="15">
        <v>221.83333333333334</v>
      </c>
      <c r="F79" s="15">
        <f>(C79-C134)^2</f>
        <v>4165.1377984389337</v>
      </c>
      <c r="G79">
        <f t="shared" si="61"/>
        <v>2874.3802226813582</v>
      </c>
      <c r="H79" s="15">
        <f t="shared" si="62"/>
        <v>276</v>
      </c>
      <c r="I79">
        <f t="shared" si="60"/>
        <v>20287.21212121212</v>
      </c>
      <c r="J79" s="15">
        <f t="shared" si="63"/>
        <v>300</v>
      </c>
      <c r="K79">
        <f t="shared" si="64"/>
        <v>-1643.2712924701564</v>
      </c>
      <c r="L79" s="15">
        <f t="shared" si="65"/>
        <v>206</v>
      </c>
      <c r="M79">
        <f t="shared" si="66"/>
        <v>-5644.6197773186404</v>
      </c>
      <c r="N79" s="15">
        <f t="shared" si="67"/>
        <v>144</v>
      </c>
      <c r="O79">
        <f t="shared" si="68"/>
        <v>5262.2817378328737</v>
      </c>
      <c r="P79" s="15">
        <f t="shared" si="69"/>
        <v>313</v>
      </c>
      <c r="Q79">
        <f t="shared" si="70"/>
        <v>-1965.9606864095504</v>
      </c>
      <c r="R79" s="15">
        <f t="shared" si="71"/>
        <v>201</v>
      </c>
      <c r="S79">
        <f t="shared" si="72"/>
        <v>-1449.6576561065201</v>
      </c>
      <c r="T79" s="15">
        <f t="shared" si="73"/>
        <v>209</v>
      </c>
      <c r="U79">
        <f t="shared" si="74"/>
        <v>1970.8499196510554</v>
      </c>
      <c r="V79" s="15">
        <f t="shared" si="75"/>
        <v>262</v>
      </c>
      <c r="W79">
        <f t="shared" si="76"/>
        <v>1067.3196166207524</v>
      </c>
      <c r="X79" s="15">
        <f t="shared" si="77"/>
        <v>248</v>
      </c>
      <c r="Y79">
        <f t="shared" si="78"/>
        <v>-3773.0212924701564</v>
      </c>
      <c r="Z79" s="15">
        <f t="shared" si="79"/>
        <v>173</v>
      </c>
      <c r="AA79">
        <f t="shared" si="80"/>
        <v>-3256.7182621671259</v>
      </c>
      <c r="AB79" s="15">
        <f t="shared" si="81"/>
        <v>181</v>
      </c>
      <c r="AC79">
        <f t="shared" si="82"/>
        <v>5584.9711317722677</v>
      </c>
      <c r="AD79" s="15">
        <f t="shared" si="83"/>
        <v>318</v>
      </c>
      <c r="AE79" s="27">
        <f t="shared" ref="AE79:AE110" si="84">(C79-$C$134)*(AF79-$C$134)</f>
        <v>5584.9711317722677</v>
      </c>
      <c r="AF79" s="15">
        <f t="shared" ref="AF79:AF110" si="85">AD78</f>
        <v>318</v>
      </c>
      <c r="AG79">
        <f t="shared" si="56"/>
        <v>9909.0090105601448</v>
      </c>
      <c r="AH79" s="15">
        <f t="shared" si="57"/>
        <v>385</v>
      </c>
      <c r="AI79">
        <f t="shared" si="58"/>
        <v>1454.5468893480252</v>
      </c>
      <c r="AJ79" s="15">
        <f t="shared" si="59"/>
        <v>254</v>
      </c>
    </row>
    <row r="80" spans="1:36" x14ac:dyDescent="0.25">
      <c r="A80" s="15"/>
      <c r="B80" s="15">
        <v>7</v>
      </c>
      <c r="C80" s="15">
        <v>281</v>
      </c>
      <c r="D80" s="15">
        <v>231.46212121212122</v>
      </c>
      <c r="E80" s="15">
        <v>221.83333333333334</v>
      </c>
      <c r="F80" s="15">
        <f>(C80-C134)^2</f>
        <v>2454.0014348025707</v>
      </c>
      <c r="G80">
        <f t="shared" si="61"/>
        <v>3197.0696166207522</v>
      </c>
      <c r="H80" s="15">
        <f t="shared" si="62"/>
        <v>296</v>
      </c>
      <c r="I80">
        <f t="shared" si="60"/>
        <v>12515.143939393938</v>
      </c>
      <c r="J80" s="15">
        <f t="shared" si="63"/>
        <v>276</v>
      </c>
      <c r="K80">
        <f t="shared" si="64"/>
        <v>3395.2211317722672</v>
      </c>
      <c r="L80" s="15">
        <f t="shared" si="65"/>
        <v>300</v>
      </c>
      <c r="M80">
        <f t="shared" si="66"/>
        <v>-1261.3394742883381</v>
      </c>
      <c r="N80" s="15">
        <f t="shared" si="67"/>
        <v>206</v>
      </c>
      <c r="O80">
        <f t="shared" si="68"/>
        <v>-4332.6879591368224</v>
      </c>
      <c r="P80" s="15">
        <f t="shared" si="69"/>
        <v>144</v>
      </c>
      <c r="Q80">
        <f t="shared" si="70"/>
        <v>4039.2135560146917</v>
      </c>
      <c r="R80" s="15">
        <f t="shared" si="71"/>
        <v>313</v>
      </c>
      <c r="S80">
        <f t="shared" si="72"/>
        <v>-1509.0288682277319</v>
      </c>
      <c r="T80" s="15">
        <f t="shared" si="73"/>
        <v>201</v>
      </c>
      <c r="U80">
        <f t="shared" si="74"/>
        <v>-1112.7258379247016</v>
      </c>
      <c r="V80" s="15">
        <f t="shared" si="75"/>
        <v>209</v>
      </c>
      <c r="W80">
        <f t="shared" si="76"/>
        <v>1512.7817378328737</v>
      </c>
      <c r="X80" s="15">
        <f t="shared" si="77"/>
        <v>262</v>
      </c>
      <c r="Y80">
        <f t="shared" si="78"/>
        <v>819.25143480257077</v>
      </c>
      <c r="Z80" s="15">
        <f t="shared" si="79"/>
        <v>248</v>
      </c>
      <c r="AA80">
        <f t="shared" si="80"/>
        <v>-2896.0894742883379</v>
      </c>
      <c r="AB80" s="15">
        <f t="shared" si="81"/>
        <v>173</v>
      </c>
      <c r="AC80">
        <f t="shared" si="82"/>
        <v>-2499.7864439853074</v>
      </c>
      <c r="AD80" s="15">
        <f t="shared" si="83"/>
        <v>181</v>
      </c>
      <c r="AE80" s="27">
        <f t="shared" si="84"/>
        <v>4286.9029499540857</v>
      </c>
      <c r="AF80" s="15">
        <f t="shared" si="85"/>
        <v>318</v>
      </c>
      <c r="AG80">
        <f t="shared" ref="AG80:AG111" si="86">(C80-$C$134)*(AH80-$C$134)</f>
        <v>4286.9029499540857</v>
      </c>
      <c r="AH80" s="15">
        <f t="shared" ref="AH80:AH111" si="87">AF79</f>
        <v>318</v>
      </c>
      <c r="AI80">
        <f t="shared" si="58"/>
        <v>7605.9408287419637</v>
      </c>
      <c r="AJ80" s="15">
        <f t="shared" si="59"/>
        <v>385</v>
      </c>
    </row>
    <row r="81" spans="1:36" x14ac:dyDescent="0.25">
      <c r="A81" s="15"/>
      <c r="B81" s="15">
        <v>8</v>
      </c>
      <c r="C81" s="15">
        <v>335</v>
      </c>
      <c r="D81" s="15">
        <v>231.46212121212122</v>
      </c>
      <c r="E81" s="15">
        <v>221.83333333333334</v>
      </c>
      <c r="F81" s="15">
        <f>(C81-C134)^2</f>
        <v>10720.092343893479</v>
      </c>
      <c r="G81">
        <f t="shared" si="61"/>
        <v>5129.0468893480247</v>
      </c>
      <c r="H81" s="15">
        <f t="shared" si="62"/>
        <v>281</v>
      </c>
      <c r="I81">
        <f t="shared" si="60"/>
        <v>21620.189393939392</v>
      </c>
      <c r="J81" s="15">
        <f t="shared" si="63"/>
        <v>296</v>
      </c>
      <c r="K81">
        <f t="shared" si="64"/>
        <v>4611.3574954086307</v>
      </c>
      <c r="L81" s="15">
        <f t="shared" si="65"/>
        <v>276</v>
      </c>
      <c r="M81">
        <f t="shared" si="66"/>
        <v>7096.2665863177217</v>
      </c>
      <c r="N81" s="15">
        <f t="shared" si="67"/>
        <v>300</v>
      </c>
      <c r="O81">
        <f t="shared" si="68"/>
        <v>-2636.2940197428838</v>
      </c>
      <c r="P81" s="15">
        <f t="shared" si="69"/>
        <v>206</v>
      </c>
      <c r="Q81">
        <f t="shared" si="70"/>
        <v>-9055.6425045913675</v>
      </c>
      <c r="R81" s="15">
        <f t="shared" si="71"/>
        <v>144</v>
      </c>
      <c r="S81">
        <f t="shared" si="72"/>
        <v>8442.2590105601466</v>
      </c>
      <c r="T81" s="15">
        <f t="shared" si="73"/>
        <v>313</v>
      </c>
      <c r="U81">
        <f t="shared" si="74"/>
        <v>-3153.9834136822778</v>
      </c>
      <c r="V81" s="15">
        <f t="shared" si="75"/>
        <v>201</v>
      </c>
      <c r="W81">
        <f t="shared" si="76"/>
        <v>-2325.6803833792474</v>
      </c>
      <c r="X81" s="15">
        <f t="shared" si="77"/>
        <v>209</v>
      </c>
      <c r="Y81">
        <f t="shared" si="78"/>
        <v>3161.8271923783277</v>
      </c>
      <c r="Z81" s="15">
        <f t="shared" si="79"/>
        <v>262</v>
      </c>
      <c r="AA81">
        <f t="shared" si="80"/>
        <v>1712.2968893480249</v>
      </c>
      <c r="AB81" s="15">
        <f t="shared" si="81"/>
        <v>248</v>
      </c>
      <c r="AC81">
        <f t="shared" si="82"/>
        <v>-6053.0440197428834</v>
      </c>
      <c r="AD81" s="15">
        <f t="shared" si="83"/>
        <v>173</v>
      </c>
      <c r="AE81" s="27">
        <f t="shared" si="84"/>
        <v>-5224.7409894398534</v>
      </c>
      <c r="AF81" s="15">
        <f t="shared" si="85"/>
        <v>181</v>
      </c>
      <c r="AG81">
        <f t="shared" si="86"/>
        <v>8959.9484044995388</v>
      </c>
      <c r="AH81" s="15">
        <f t="shared" si="87"/>
        <v>318</v>
      </c>
      <c r="AI81">
        <f t="shared" ref="AI81:AI112" si="88">(C81-$C$134)*(AJ81-$C$134)</f>
        <v>8959.9484044995388</v>
      </c>
      <c r="AJ81" s="15">
        <f t="shared" ref="AJ81:AJ112" si="89">AH80</f>
        <v>318</v>
      </c>
    </row>
    <row r="82" spans="1:36" x14ac:dyDescent="0.25">
      <c r="A82" s="15"/>
      <c r="B82" s="15">
        <v>9</v>
      </c>
      <c r="C82" s="15">
        <v>44</v>
      </c>
      <c r="D82" s="15">
        <v>231.46212121212122</v>
      </c>
      <c r="E82" s="15">
        <v>221.83333333333334</v>
      </c>
      <c r="F82" s="15">
        <f>(C82-C134)^2</f>
        <v>35142.046889348028</v>
      </c>
      <c r="G82">
        <f t="shared" si="61"/>
        <v>-19409.430383379247</v>
      </c>
      <c r="H82" s="15">
        <f t="shared" si="62"/>
        <v>335</v>
      </c>
      <c r="I82">
        <f t="shared" si="60"/>
        <v>2179.6666666666665</v>
      </c>
      <c r="J82" s="15">
        <f t="shared" si="63"/>
        <v>281</v>
      </c>
      <c r="K82">
        <f t="shared" si="64"/>
        <v>-12098.407656106519</v>
      </c>
      <c r="L82" s="15">
        <f t="shared" si="65"/>
        <v>296</v>
      </c>
      <c r="M82">
        <f t="shared" si="66"/>
        <v>-8349.1652318640954</v>
      </c>
      <c r="N82" s="15">
        <f t="shared" si="67"/>
        <v>276</v>
      </c>
      <c r="O82">
        <f t="shared" si="68"/>
        <v>-12848.256140955004</v>
      </c>
      <c r="P82" s="15">
        <f t="shared" si="69"/>
        <v>300</v>
      </c>
      <c r="Q82">
        <f t="shared" si="70"/>
        <v>4773.1832529843905</v>
      </c>
      <c r="R82" s="15">
        <f t="shared" si="71"/>
        <v>206</v>
      </c>
      <c r="S82">
        <f t="shared" si="72"/>
        <v>16395.834768135905</v>
      </c>
      <c r="T82" s="15">
        <f t="shared" si="73"/>
        <v>144</v>
      </c>
      <c r="U82">
        <f t="shared" si="74"/>
        <v>-15285.263716712579</v>
      </c>
      <c r="V82" s="15">
        <f t="shared" si="75"/>
        <v>313</v>
      </c>
      <c r="W82">
        <f t="shared" si="76"/>
        <v>5710.4938590449965</v>
      </c>
      <c r="X82" s="15">
        <f t="shared" si="77"/>
        <v>201</v>
      </c>
      <c r="Y82">
        <f t="shared" si="78"/>
        <v>4210.7968893480265</v>
      </c>
      <c r="Z82" s="15">
        <f t="shared" si="79"/>
        <v>209</v>
      </c>
      <c r="AA82">
        <f t="shared" si="80"/>
        <v>-5724.6955348943975</v>
      </c>
      <c r="AB82" s="15">
        <f t="shared" si="81"/>
        <v>262</v>
      </c>
      <c r="AC82">
        <f t="shared" si="82"/>
        <v>-3100.2258379247005</v>
      </c>
      <c r="AD82" s="15">
        <f t="shared" si="83"/>
        <v>248</v>
      </c>
      <c r="AE82" s="27">
        <f t="shared" si="84"/>
        <v>10959.43325298439</v>
      </c>
      <c r="AF82" s="15">
        <f t="shared" si="85"/>
        <v>173</v>
      </c>
      <c r="AG82">
        <f t="shared" si="86"/>
        <v>9459.7362832874205</v>
      </c>
      <c r="AH82" s="15">
        <f t="shared" si="87"/>
        <v>181</v>
      </c>
      <c r="AI82">
        <f t="shared" si="88"/>
        <v>-16222.574322773185</v>
      </c>
      <c r="AJ82" s="15">
        <f t="shared" si="89"/>
        <v>318</v>
      </c>
    </row>
    <row r="83" spans="1:36" x14ac:dyDescent="0.25">
      <c r="A83" s="15"/>
      <c r="B83" s="15">
        <v>10</v>
      </c>
      <c r="C83" s="15">
        <v>195</v>
      </c>
      <c r="D83" s="15">
        <v>231.46212121212122</v>
      </c>
      <c r="E83" s="15">
        <v>221.83333333333334</v>
      </c>
      <c r="F83" s="15">
        <f>(C83-C134)^2</f>
        <v>1329.4862832874201</v>
      </c>
      <c r="G83">
        <f t="shared" si="61"/>
        <v>6835.2665863177244</v>
      </c>
      <c r="H83" s="15">
        <f t="shared" si="62"/>
        <v>44</v>
      </c>
      <c r="I83">
        <f t="shared" ref="I83:I114" si="90">(C83-$C214)*(J83-$C$134)</f>
        <v>20189.886363636364</v>
      </c>
      <c r="J83" s="15">
        <f t="shared" si="63"/>
        <v>335</v>
      </c>
      <c r="K83">
        <f t="shared" si="64"/>
        <v>-1806.2561409550046</v>
      </c>
      <c r="L83" s="15">
        <f t="shared" si="65"/>
        <v>281</v>
      </c>
      <c r="M83">
        <f t="shared" si="66"/>
        <v>-2353.1879591368229</v>
      </c>
      <c r="N83" s="15">
        <f t="shared" si="67"/>
        <v>296</v>
      </c>
      <c r="O83">
        <f t="shared" si="68"/>
        <v>-1623.9455348943986</v>
      </c>
      <c r="P83" s="15">
        <f t="shared" si="69"/>
        <v>276</v>
      </c>
      <c r="Q83">
        <f t="shared" si="70"/>
        <v>-2499.0364439853079</v>
      </c>
      <c r="R83" s="15">
        <f t="shared" si="71"/>
        <v>300</v>
      </c>
      <c r="S83">
        <f t="shared" si="72"/>
        <v>928.40294995408669</v>
      </c>
      <c r="T83" s="15">
        <f t="shared" si="73"/>
        <v>206</v>
      </c>
      <c r="U83">
        <f t="shared" si="74"/>
        <v>3189.054465105602</v>
      </c>
      <c r="V83" s="15">
        <f t="shared" si="75"/>
        <v>144</v>
      </c>
      <c r="W83">
        <f t="shared" si="76"/>
        <v>-2973.0440197428838</v>
      </c>
      <c r="X83" s="15">
        <f t="shared" si="77"/>
        <v>313</v>
      </c>
      <c r="Y83">
        <f t="shared" si="78"/>
        <v>1110.7135560146928</v>
      </c>
      <c r="Z83" s="15">
        <f t="shared" si="79"/>
        <v>201</v>
      </c>
      <c r="AA83">
        <f t="shared" si="80"/>
        <v>819.01658631772307</v>
      </c>
      <c r="AB83" s="15">
        <f t="shared" si="81"/>
        <v>209</v>
      </c>
      <c r="AC83">
        <f t="shared" si="82"/>
        <v>-1113.4758379247016</v>
      </c>
      <c r="AD83" s="15">
        <f t="shared" si="83"/>
        <v>262</v>
      </c>
      <c r="AE83" s="27">
        <f t="shared" si="84"/>
        <v>-603.00614095500453</v>
      </c>
      <c r="AF83" s="15">
        <f t="shared" si="85"/>
        <v>248</v>
      </c>
      <c r="AG83">
        <f t="shared" si="86"/>
        <v>2131.652949954087</v>
      </c>
      <c r="AH83" s="15">
        <f t="shared" si="87"/>
        <v>173</v>
      </c>
      <c r="AI83">
        <f t="shared" si="88"/>
        <v>1839.9559802571171</v>
      </c>
      <c r="AJ83" s="15">
        <f t="shared" si="89"/>
        <v>181</v>
      </c>
    </row>
    <row r="84" spans="1:36" x14ac:dyDescent="0.25">
      <c r="A84" s="15"/>
      <c r="B84" s="15">
        <v>11</v>
      </c>
      <c r="C84" s="15">
        <v>141</v>
      </c>
      <c r="D84" s="15">
        <v>231.46212121212122</v>
      </c>
      <c r="E84" s="15">
        <v>221.83333333333334</v>
      </c>
      <c r="F84" s="15">
        <f>(C84-C134)^2</f>
        <v>8183.3953741965115</v>
      </c>
      <c r="G84">
        <f t="shared" si="61"/>
        <v>3298.440828741966</v>
      </c>
      <c r="H84" s="15">
        <f t="shared" si="62"/>
        <v>195</v>
      </c>
      <c r="I84">
        <f t="shared" si="90"/>
        <v>-26432.159090909092</v>
      </c>
      <c r="J84" s="15">
        <f t="shared" si="63"/>
        <v>44</v>
      </c>
      <c r="K84">
        <f t="shared" si="64"/>
        <v>-9366.2561409550053</v>
      </c>
      <c r="L84" s="15">
        <f t="shared" si="65"/>
        <v>335</v>
      </c>
      <c r="M84">
        <f t="shared" si="66"/>
        <v>-4481.3015955004585</v>
      </c>
      <c r="N84" s="15">
        <f t="shared" si="67"/>
        <v>281</v>
      </c>
      <c r="O84">
        <f t="shared" si="68"/>
        <v>-5838.2334136822774</v>
      </c>
      <c r="P84" s="15">
        <f t="shared" si="69"/>
        <v>296</v>
      </c>
      <c r="Q84">
        <f t="shared" si="70"/>
        <v>-4028.9909894398529</v>
      </c>
      <c r="R84" s="15">
        <f t="shared" si="71"/>
        <v>276</v>
      </c>
      <c r="S84">
        <f t="shared" si="72"/>
        <v>-6200.0818985307624</v>
      </c>
      <c r="T84" s="15">
        <f t="shared" si="73"/>
        <v>300</v>
      </c>
      <c r="U84">
        <f t="shared" si="74"/>
        <v>2303.3574954086325</v>
      </c>
      <c r="V84" s="15">
        <f t="shared" si="75"/>
        <v>206</v>
      </c>
      <c r="W84">
        <f t="shared" si="76"/>
        <v>7912.0090105601475</v>
      </c>
      <c r="X84" s="15">
        <f t="shared" si="77"/>
        <v>144</v>
      </c>
      <c r="Y84">
        <f t="shared" si="78"/>
        <v>-7376.0894742883374</v>
      </c>
      <c r="Z84" s="15">
        <f t="shared" si="79"/>
        <v>313</v>
      </c>
      <c r="AA84">
        <f t="shared" si="80"/>
        <v>2755.6681014692385</v>
      </c>
      <c r="AB84" s="15">
        <f t="shared" si="81"/>
        <v>201</v>
      </c>
      <c r="AC84">
        <f t="shared" si="82"/>
        <v>2031.9711317722688</v>
      </c>
      <c r="AD84" s="15">
        <f t="shared" si="83"/>
        <v>209</v>
      </c>
      <c r="AE84" s="27">
        <f t="shared" si="84"/>
        <v>-2762.5212924701559</v>
      </c>
      <c r="AF84" s="15">
        <f t="shared" si="85"/>
        <v>262</v>
      </c>
      <c r="AG84">
        <f t="shared" si="86"/>
        <v>-1496.0515955004587</v>
      </c>
      <c r="AH84" s="15">
        <f t="shared" si="87"/>
        <v>248</v>
      </c>
      <c r="AI84">
        <f t="shared" si="88"/>
        <v>5288.6074954086325</v>
      </c>
      <c r="AJ84" s="15">
        <f t="shared" si="89"/>
        <v>173</v>
      </c>
    </row>
    <row r="85" spans="1:36" x14ac:dyDescent="0.25">
      <c r="A85" s="15">
        <v>2018</v>
      </c>
      <c r="B85" s="15">
        <v>12</v>
      </c>
      <c r="C85" s="15">
        <v>131</v>
      </c>
      <c r="D85" s="15">
        <v>231.46212121212122</v>
      </c>
      <c r="E85" s="15">
        <f>SUM(C74:C85)/COUNT(C74:C85)</f>
        <v>221.83333333333334</v>
      </c>
      <c r="F85" s="15">
        <f>(C85-C134)^2</f>
        <v>10092.637798438936</v>
      </c>
      <c r="G85">
        <f t="shared" si="61"/>
        <v>9088.0165863177244</v>
      </c>
      <c r="H85" s="15">
        <f t="shared" si="62"/>
        <v>141</v>
      </c>
      <c r="I85">
        <f t="shared" si="90"/>
        <v>-4776.5378787878799</v>
      </c>
      <c r="J85" s="15">
        <f t="shared" si="63"/>
        <v>195</v>
      </c>
      <c r="K85">
        <f t="shared" si="64"/>
        <v>18832.842343893481</v>
      </c>
      <c r="L85" s="15">
        <f t="shared" si="65"/>
        <v>44</v>
      </c>
      <c r="M85">
        <f t="shared" si="66"/>
        <v>-10401.634928833793</v>
      </c>
      <c r="N85" s="15">
        <f t="shared" si="67"/>
        <v>335</v>
      </c>
      <c r="O85">
        <f t="shared" si="68"/>
        <v>-4976.6803833792465</v>
      </c>
      <c r="P85" s="15">
        <f t="shared" si="69"/>
        <v>281</v>
      </c>
      <c r="Q85">
        <f t="shared" si="70"/>
        <v>-6483.6122015610654</v>
      </c>
      <c r="R85" s="15">
        <f t="shared" si="71"/>
        <v>296</v>
      </c>
      <c r="S85">
        <f t="shared" si="72"/>
        <v>-4474.3697773186404</v>
      </c>
      <c r="T85" s="15">
        <f t="shared" si="73"/>
        <v>276</v>
      </c>
      <c r="U85">
        <f t="shared" si="74"/>
        <v>-6885.4606864095495</v>
      </c>
      <c r="V85" s="15">
        <f t="shared" si="75"/>
        <v>300</v>
      </c>
      <c r="W85">
        <f t="shared" si="76"/>
        <v>2557.9787075298445</v>
      </c>
      <c r="X85" s="15">
        <f t="shared" si="77"/>
        <v>206</v>
      </c>
      <c r="Y85">
        <f t="shared" si="78"/>
        <v>8786.6302226813605</v>
      </c>
      <c r="Z85" s="15">
        <f t="shared" si="79"/>
        <v>144</v>
      </c>
      <c r="AA85">
        <f t="shared" si="80"/>
        <v>-8191.4682621671254</v>
      </c>
      <c r="AB85" s="15">
        <f t="shared" si="81"/>
        <v>313</v>
      </c>
      <c r="AC85">
        <f t="shared" si="82"/>
        <v>3060.2893135904505</v>
      </c>
      <c r="AD85" s="15">
        <f t="shared" si="83"/>
        <v>201</v>
      </c>
      <c r="AE85" s="27">
        <f t="shared" si="84"/>
        <v>2256.592343893481</v>
      </c>
      <c r="AF85" s="15">
        <f t="shared" si="85"/>
        <v>209</v>
      </c>
      <c r="AG85">
        <f t="shared" si="86"/>
        <v>-3067.9000803489434</v>
      </c>
      <c r="AH85" s="15">
        <f t="shared" si="87"/>
        <v>262</v>
      </c>
      <c r="AI85">
        <f t="shared" si="88"/>
        <v>-1661.4303833792465</v>
      </c>
      <c r="AJ85" s="15">
        <f t="shared" si="89"/>
        <v>248</v>
      </c>
    </row>
    <row r="86" spans="1:36" x14ac:dyDescent="0.25">
      <c r="A86" s="15"/>
      <c r="B86" s="15">
        <v>1</v>
      </c>
      <c r="C86" s="15">
        <v>370</v>
      </c>
      <c r="D86" s="15">
        <v>231.46212121212122</v>
      </c>
      <c r="E86" s="15">
        <v>335</v>
      </c>
      <c r="F86" s="15">
        <f>(C86-C134)^2</f>
        <v>19192.743859044993</v>
      </c>
      <c r="G86">
        <f t="shared" si="61"/>
        <v>-13917.809171258035</v>
      </c>
      <c r="H86" s="15">
        <f t="shared" si="62"/>
        <v>131</v>
      </c>
      <c r="I86">
        <f t="shared" si="90"/>
        <v>-33470.984848484848</v>
      </c>
      <c r="J86" s="15">
        <f t="shared" si="63"/>
        <v>141</v>
      </c>
      <c r="K86">
        <f t="shared" si="64"/>
        <v>-5051.3849288337933</v>
      </c>
      <c r="L86" s="15">
        <f t="shared" si="65"/>
        <v>195</v>
      </c>
      <c r="M86">
        <f t="shared" si="66"/>
        <v>-25970.604625803488</v>
      </c>
      <c r="N86" s="15">
        <f t="shared" si="67"/>
        <v>44</v>
      </c>
      <c r="O86">
        <f t="shared" si="68"/>
        <v>14343.918101469237</v>
      </c>
      <c r="P86" s="15">
        <f t="shared" si="69"/>
        <v>335</v>
      </c>
      <c r="Q86">
        <f t="shared" si="70"/>
        <v>6862.8726469237818</v>
      </c>
      <c r="R86" s="15">
        <f t="shared" si="71"/>
        <v>281</v>
      </c>
      <c r="S86">
        <f t="shared" si="72"/>
        <v>8940.9408287419647</v>
      </c>
      <c r="T86" s="15">
        <f t="shared" si="73"/>
        <v>296</v>
      </c>
      <c r="U86">
        <f t="shared" si="74"/>
        <v>6170.1832529843887</v>
      </c>
      <c r="V86" s="15">
        <f t="shared" si="75"/>
        <v>276</v>
      </c>
      <c r="W86">
        <f t="shared" si="76"/>
        <v>9495.0923438934788</v>
      </c>
      <c r="X86" s="15">
        <f t="shared" si="77"/>
        <v>300</v>
      </c>
      <c r="Y86">
        <f t="shared" si="78"/>
        <v>-3527.4682621671263</v>
      </c>
      <c r="Z86" s="15">
        <f t="shared" si="79"/>
        <v>206</v>
      </c>
      <c r="AA86">
        <f t="shared" si="80"/>
        <v>-12116.816747015611</v>
      </c>
      <c r="AB86" s="15">
        <f t="shared" si="81"/>
        <v>144</v>
      </c>
      <c r="AC86">
        <f t="shared" si="82"/>
        <v>11296.084768135903</v>
      </c>
      <c r="AD86" s="15">
        <f t="shared" si="83"/>
        <v>313</v>
      </c>
      <c r="AE86" s="27">
        <f t="shared" si="84"/>
        <v>-4220.1576561065203</v>
      </c>
      <c r="AF86" s="15">
        <f t="shared" si="85"/>
        <v>201</v>
      </c>
      <c r="AG86">
        <f t="shared" si="86"/>
        <v>-3111.8546258034903</v>
      </c>
      <c r="AH86" s="15">
        <f t="shared" si="87"/>
        <v>209</v>
      </c>
      <c r="AI86">
        <f t="shared" si="88"/>
        <v>4230.6529499540857</v>
      </c>
      <c r="AJ86" s="15">
        <f t="shared" si="89"/>
        <v>262</v>
      </c>
    </row>
    <row r="87" spans="1:36" x14ac:dyDescent="0.25">
      <c r="A87" s="15"/>
      <c r="B87" s="15">
        <v>2</v>
      </c>
      <c r="C87" s="15">
        <v>240</v>
      </c>
      <c r="D87" s="15">
        <v>231.46212121212122</v>
      </c>
      <c r="E87" s="15">
        <v>335</v>
      </c>
      <c r="F87" s="15">
        <f>(C87-C134)^2</f>
        <v>72.89537419651046</v>
      </c>
      <c r="G87">
        <f t="shared" si="61"/>
        <v>1182.8196166207522</v>
      </c>
      <c r="H87" s="15">
        <f t="shared" si="62"/>
        <v>370</v>
      </c>
      <c r="I87">
        <f t="shared" si="90"/>
        <v>-24110.909090909092</v>
      </c>
      <c r="J87" s="15">
        <f t="shared" si="63"/>
        <v>131</v>
      </c>
      <c r="K87">
        <f t="shared" si="64"/>
        <v>-772.35462580348894</v>
      </c>
      <c r="L87" s="15">
        <f t="shared" si="65"/>
        <v>141</v>
      </c>
      <c r="M87">
        <f t="shared" si="66"/>
        <v>-311.30917125803472</v>
      </c>
      <c r="N87" s="15">
        <f t="shared" si="67"/>
        <v>195</v>
      </c>
      <c r="O87">
        <f t="shared" si="68"/>
        <v>-1600.5288682277308</v>
      </c>
      <c r="P87" s="15">
        <f t="shared" si="69"/>
        <v>44</v>
      </c>
      <c r="Q87">
        <f t="shared" si="70"/>
        <v>883.99385904499468</v>
      </c>
      <c r="R87" s="15">
        <f t="shared" si="71"/>
        <v>335</v>
      </c>
      <c r="S87">
        <f t="shared" si="72"/>
        <v>422.94840449954052</v>
      </c>
      <c r="T87" s="15">
        <f t="shared" si="73"/>
        <v>281</v>
      </c>
      <c r="U87">
        <f t="shared" si="74"/>
        <v>551.01658631772227</v>
      </c>
      <c r="V87" s="15">
        <f t="shared" si="75"/>
        <v>296</v>
      </c>
      <c r="W87">
        <f t="shared" si="76"/>
        <v>380.25901056014658</v>
      </c>
      <c r="X87" s="15">
        <f t="shared" si="77"/>
        <v>276</v>
      </c>
      <c r="Y87">
        <f t="shared" si="78"/>
        <v>585.1681014692374</v>
      </c>
      <c r="Z87" s="15">
        <f t="shared" si="79"/>
        <v>300</v>
      </c>
      <c r="AA87">
        <f t="shared" si="80"/>
        <v>-217.39250459136812</v>
      </c>
      <c r="AB87" s="15">
        <f t="shared" si="81"/>
        <v>206</v>
      </c>
      <c r="AC87">
        <f t="shared" si="82"/>
        <v>-746.74098943985257</v>
      </c>
      <c r="AD87" s="15">
        <f t="shared" si="83"/>
        <v>144</v>
      </c>
      <c r="AE87" s="27">
        <f t="shared" si="84"/>
        <v>696.16052571166153</v>
      </c>
      <c r="AF87" s="15">
        <f t="shared" si="85"/>
        <v>313</v>
      </c>
      <c r="AG87">
        <f t="shared" si="86"/>
        <v>-260.08189853076203</v>
      </c>
      <c r="AH87" s="15">
        <f t="shared" si="87"/>
        <v>201</v>
      </c>
      <c r="AI87">
        <f t="shared" si="88"/>
        <v>-191.77886822773178</v>
      </c>
      <c r="AJ87" s="15">
        <f t="shared" si="89"/>
        <v>209</v>
      </c>
    </row>
    <row r="88" spans="1:36" x14ac:dyDescent="0.25">
      <c r="A88" s="15"/>
      <c r="B88" s="15">
        <v>3</v>
      </c>
      <c r="C88" s="15">
        <v>219</v>
      </c>
      <c r="D88" s="15">
        <v>231.46212121212122</v>
      </c>
      <c r="E88" s="15">
        <v>335</v>
      </c>
      <c r="F88" s="15">
        <f>(C88-C134)^2</f>
        <v>155.30446510560162</v>
      </c>
      <c r="G88">
        <f t="shared" si="61"/>
        <v>-106.40008034894396</v>
      </c>
      <c r="H88" s="15">
        <f t="shared" si="62"/>
        <v>240</v>
      </c>
      <c r="I88">
        <f t="shared" si="90"/>
        <v>30339.795454545452</v>
      </c>
      <c r="J88" s="15">
        <f t="shared" si="63"/>
        <v>370</v>
      </c>
      <c r="K88">
        <f t="shared" si="64"/>
        <v>1251.9711317722688</v>
      </c>
      <c r="L88" s="15">
        <f t="shared" si="65"/>
        <v>131</v>
      </c>
      <c r="M88">
        <f t="shared" si="66"/>
        <v>1127.3499196510566</v>
      </c>
      <c r="N88" s="15">
        <f t="shared" si="67"/>
        <v>141</v>
      </c>
      <c r="O88">
        <f t="shared" si="68"/>
        <v>454.39537419651083</v>
      </c>
      <c r="P88" s="15">
        <f t="shared" si="69"/>
        <v>195</v>
      </c>
      <c r="Q88">
        <f t="shared" si="70"/>
        <v>2336.175677226815</v>
      </c>
      <c r="R88" s="15">
        <f t="shared" si="71"/>
        <v>44</v>
      </c>
      <c r="S88">
        <f t="shared" si="72"/>
        <v>-1290.3015955004596</v>
      </c>
      <c r="T88" s="15">
        <f t="shared" si="73"/>
        <v>335</v>
      </c>
      <c r="U88">
        <f t="shared" si="74"/>
        <v>-617.34705004591387</v>
      </c>
      <c r="V88" s="15">
        <f t="shared" si="75"/>
        <v>281</v>
      </c>
      <c r="W88">
        <f t="shared" si="76"/>
        <v>-804.27886822773223</v>
      </c>
      <c r="X88" s="15">
        <f t="shared" si="77"/>
        <v>296</v>
      </c>
      <c r="Y88">
        <f t="shared" si="78"/>
        <v>-555.03644398530787</v>
      </c>
      <c r="Z88" s="15">
        <f t="shared" si="79"/>
        <v>276</v>
      </c>
      <c r="AA88">
        <f t="shared" si="80"/>
        <v>-854.1273530762171</v>
      </c>
      <c r="AB88" s="15">
        <f t="shared" si="81"/>
        <v>300</v>
      </c>
      <c r="AC88">
        <f t="shared" si="82"/>
        <v>317.31204086317746</v>
      </c>
      <c r="AD88" s="15">
        <f t="shared" si="83"/>
        <v>206</v>
      </c>
      <c r="AE88" s="27">
        <f t="shared" si="84"/>
        <v>1089.963556014693</v>
      </c>
      <c r="AF88" s="15">
        <f t="shared" si="85"/>
        <v>144</v>
      </c>
      <c r="AG88">
        <f t="shared" si="86"/>
        <v>-1016.1349288337929</v>
      </c>
      <c r="AH88" s="15">
        <f t="shared" si="87"/>
        <v>313</v>
      </c>
      <c r="AI88">
        <f t="shared" si="88"/>
        <v>379.62264692378352</v>
      </c>
      <c r="AJ88" s="15">
        <f t="shared" si="89"/>
        <v>201</v>
      </c>
    </row>
    <row r="89" spans="1:36" x14ac:dyDescent="0.25">
      <c r="A89" s="15"/>
      <c r="B89" s="15">
        <v>4</v>
      </c>
      <c r="C89" s="15">
        <v>425</v>
      </c>
      <c r="D89" s="15">
        <v>231.46212121212122</v>
      </c>
      <c r="E89" s="15">
        <v>335</v>
      </c>
      <c r="F89" s="15">
        <f>(C89-C134)^2</f>
        <v>37456.910525711661</v>
      </c>
      <c r="G89">
        <f t="shared" si="61"/>
        <v>-2411.8925045913693</v>
      </c>
      <c r="H89" s="15">
        <f t="shared" si="62"/>
        <v>219</v>
      </c>
      <c r="I89">
        <f t="shared" si="90"/>
        <v>3628.5984848484823</v>
      </c>
      <c r="J89" s="15">
        <f t="shared" si="63"/>
        <v>240</v>
      </c>
      <c r="K89">
        <f t="shared" si="64"/>
        <v>26812.327192378325</v>
      </c>
      <c r="L89" s="15">
        <f t="shared" si="65"/>
        <v>370</v>
      </c>
      <c r="M89">
        <f t="shared" si="66"/>
        <v>-19443.225837924703</v>
      </c>
      <c r="N89" s="15">
        <f t="shared" si="67"/>
        <v>131</v>
      </c>
      <c r="O89">
        <f t="shared" si="68"/>
        <v>-17507.847050045915</v>
      </c>
      <c r="P89" s="15">
        <f t="shared" si="69"/>
        <v>141</v>
      </c>
      <c r="Q89">
        <f t="shared" si="70"/>
        <v>-7056.8015955004603</v>
      </c>
      <c r="R89" s="15">
        <f t="shared" si="71"/>
        <v>195</v>
      </c>
      <c r="S89">
        <f t="shared" si="72"/>
        <v>-36281.021292470155</v>
      </c>
      <c r="T89" s="15">
        <f t="shared" si="73"/>
        <v>44</v>
      </c>
      <c r="U89">
        <f t="shared" si="74"/>
        <v>20038.501434802569</v>
      </c>
      <c r="V89" s="15">
        <f t="shared" si="75"/>
        <v>335</v>
      </c>
      <c r="W89">
        <f t="shared" si="76"/>
        <v>9587.4559802571148</v>
      </c>
      <c r="X89" s="15">
        <f t="shared" si="77"/>
        <v>281</v>
      </c>
      <c r="Y89">
        <f t="shared" si="78"/>
        <v>12490.524162075297</v>
      </c>
      <c r="Z89" s="15">
        <f t="shared" si="79"/>
        <v>296</v>
      </c>
      <c r="AA89">
        <f t="shared" si="80"/>
        <v>8619.7665863177208</v>
      </c>
      <c r="AB89" s="15">
        <f t="shared" si="81"/>
        <v>276</v>
      </c>
      <c r="AC89">
        <f t="shared" si="82"/>
        <v>13264.675677226813</v>
      </c>
      <c r="AD89" s="15">
        <f t="shared" si="83"/>
        <v>300</v>
      </c>
      <c r="AE89" s="27">
        <f t="shared" si="84"/>
        <v>-4927.8849288337933</v>
      </c>
      <c r="AF89" s="15">
        <f t="shared" si="85"/>
        <v>206</v>
      </c>
      <c r="AG89">
        <f t="shared" si="86"/>
        <v>-16927.233413682279</v>
      </c>
      <c r="AH89" s="15">
        <f t="shared" si="87"/>
        <v>144</v>
      </c>
      <c r="AI89">
        <f t="shared" si="88"/>
        <v>15780.668101469237</v>
      </c>
      <c r="AJ89" s="15">
        <f t="shared" si="89"/>
        <v>313</v>
      </c>
    </row>
    <row r="90" spans="1:36" x14ac:dyDescent="0.25">
      <c r="A90" s="15"/>
      <c r="B90" s="15">
        <v>5</v>
      </c>
      <c r="C90" s="15">
        <v>451</v>
      </c>
      <c r="D90" s="15">
        <v>231.46212121212122</v>
      </c>
      <c r="E90" s="15">
        <v>335</v>
      </c>
      <c r="F90" s="15">
        <f>(C90-C134)^2</f>
        <v>48196.880222681357</v>
      </c>
      <c r="G90">
        <f t="shared" si="61"/>
        <v>42488.895374196509</v>
      </c>
      <c r="H90" s="15">
        <f t="shared" si="62"/>
        <v>425</v>
      </c>
      <c r="I90">
        <f t="shared" si="90"/>
        <v>-5620.4166666666697</v>
      </c>
      <c r="J90" s="15">
        <f t="shared" si="63"/>
        <v>219</v>
      </c>
      <c r="K90">
        <f t="shared" si="64"/>
        <v>1874.3877984389335</v>
      </c>
      <c r="L90" s="15">
        <f t="shared" si="65"/>
        <v>240</v>
      </c>
      <c r="M90">
        <f t="shared" si="66"/>
        <v>30414.312040863177</v>
      </c>
      <c r="N90" s="15">
        <f t="shared" si="67"/>
        <v>370</v>
      </c>
      <c r="O90">
        <f t="shared" si="68"/>
        <v>-22055.240989439855</v>
      </c>
      <c r="P90" s="15">
        <f t="shared" si="69"/>
        <v>131</v>
      </c>
      <c r="Q90">
        <f t="shared" si="70"/>
        <v>-19859.862201561067</v>
      </c>
      <c r="R90" s="15">
        <f t="shared" si="71"/>
        <v>141</v>
      </c>
      <c r="S90">
        <f t="shared" si="72"/>
        <v>-8004.8167470156113</v>
      </c>
      <c r="T90" s="15">
        <f t="shared" si="73"/>
        <v>195</v>
      </c>
      <c r="U90">
        <f t="shared" si="74"/>
        <v>-41155.036443985307</v>
      </c>
      <c r="V90" s="15">
        <f t="shared" si="75"/>
        <v>44</v>
      </c>
      <c r="W90">
        <f t="shared" si="76"/>
        <v>22730.486283287417</v>
      </c>
      <c r="X90" s="15">
        <f t="shared" si="77"/>
        <v>335</v>
      </c>
      <c r="Y90">
        <f t="shared" si="78"/>
        <v>10875.440828741963</v>
      </c>
      <c r="Z90" s="15">
        <f t="shared" si="79"/>
        <v>281</v>
      </c>
      <c r="AA90">
        <f t="shared" si="80"/>
        <v>14168.509010560145</v>
      </c>
      <c r="AB90" s="15">
        <f t="shared" si="81"/>
        <v>296</v>
      </c>
      <c r="AC90">
        <f t="shared" si="82"/>
        <v>9777.7514348025688</v>
      </c>
      <c r="AD90" s="15">
        <f t="shared" si="83"/>
        <v>276</v>
      </c>
      <c r="AE90" s="27">
        <f t="shared" si="84"/>
        <v>15046.660525711661</v>
      </c>
      <c r="AF90" s="15">
        <f t="shared" si="85"/>
        <v>300</v>
      </c>
      <c r="AG90">
        <f t="shared" si="86"/>
        <v>-5589.9000803489453</v>
      </c>
      <c r="AH90" s="15">
        <f t="shared" si="87"/>
        <v>206</v>
      </c>
      <c r="AI90">
        <f t="shared" si="88"/>
        <v>-19201.248565197431</v>
      </c>
      <c r="AJ90" s="15">
        <f t="shared" si="89"/>
        <v>144</v>
      </c>
    </row>
    <row r="91" spans="1:36" x14ac:dyDescent="0.25">
      <c r="A91" s="15"/>
      <c r="B91" s="15">
        <v>6</v>
      </c>
      <c r="C91" s="15">
        <v>386</v>
      </c>
      <c r="D91" s="15">
        <v>231.46212121212122</v>
      </c>
      <c r="E91" s="15">
        <v>335</v>
      </c>
      <c r="F91" s="15">
        <f>(C91-C134)^2</f>
        <v>23881.955980257113</v>
      </c>
      <c r="G91">
        <f t="shared" si="61"/>
        <v>33926.918101469237</v>
      </c>
      <c r="H91" s="15">
        <f t="shared" si="62"/>
        <v>451</v>
      </c>
      <c r="I91">
        <f t="shared" si="90"/>
        <v>74705.621212121216</v>
      </c>
      <c r="J91" s="15">
        <f t="shared" si="63"/>
        <v>425</v>
      </c>
      <c r="K91">
        <f t="shared" si="64"/>
        <v>-1925.8697773186418</v>
      </c>
      <c r="L91" s="15">
        <f t="shared" si="65"/>
        <v>219</v>
      </c>
      <c r="M91">
        <f t="shared" si="66"/>
        <v>1319.4256772268127</v>
      </c>
      <c r="N91" s="15">
        <f t="shared" si="67"/>
        <v>240</v>
      </c>
      <c r="O91">
        <f t="shared" si="68"/>
        <v>21409.349919651053</v>
      </c>
      <c r="P91" s="15">
        <f t="shared" si="69"/>
        <v>370</v>
      </c>
      <c r="Q91">
        <f t="shared" si="70"/>
        <v>-15525.203110651975</v>
      </c>
      <c r="R91" s="15">
        <f t="shared" si="71"/>
        <v>131</v>
      </c>
      <c r="S91">
        <f t="shared" si="72"/>
        <v>-13979.824322773187</v>
      </c>
      <c r="T91" s="15">
        <f t="shared" si="73"/>
        <v>141</v>
      </c>
      <c r="U91">
        <f t="shared" si="74"/>
        <v>-5634.7788682277323</v>
      </c>
      <c r="V91" s="15">
        <f t="shared" si="75"/>
        <v>195</v>
      </c>
      <c r="W91">
        <f t="shared" si="76"/>
        <v>-28969.998565197428</v>
      </c>
      <c r="X91" s="15">
        <f t="shared" si="77"/>
        <v>44</v>
      </c>
      <c r="Y91">
        <f t="shared" si="78"/>
        <v>16000.524162075297</v>
      </c>
      <c r="Z91" s="15">
        <f t="shared" si="79"/>
        <v>335</v>
      </c>
      <c r="AA91">
        <f t="shared" si="80"/>
        <v>7655.4787075298427</v>
      </c>
      <c r="AB91" s="15">
        <f t="shared" si="81"/>
        <v>281</v>
      </c>
      <c r="AC91">
        <f t="shared" si="82"/>
        <v>9973.5468893480247</v>
      </c>
      <c r="AD91" s="15">
        <f t="shared" si="83"/>
        <v>296</v>
      </c>
      <c r="AE91" s="27">
        <f t="shared" si="84"/>
        <v>6882.7893135904487</v>
      </c>
      <c r="AF91" s="15">
        <f t="shared" si="85"/>
        <v>276</v>
      </c>
      <c r="AG91">
        <f t="shared" si="86"/>
        <v>10591.698404499539</v>
      </c>
      <c r="AH91" s="15">
        <f t="shared" si="87"/>
        <v>300</v>
      </c>
      <c r="AI91">
        <f t="shared" si="88"/>
        <v>-3934.8622015610658</v>
      </c>
      <c r="AJ91" s="15">
        <f t="shared" si="89"/>
        <v>206</v>
      </c>
    </row>
    <row r="92" spans="1:36" x14ac:dyDescent="0.25">
      <c r="A92" s="15"/>
      <c r="B92" s="15">
        <v>7</v>
      </c>
      <c r="C92" s="15">
        <v>545</v>
      </c>
      <c r="D92" s="15">
        <v>231.46212121212122</v>
      </c>
      <c r="E92" s="15">
        <v>335</v>
      </c>
      <c r="F92" s="15">
        <f>(C92-C134)^2</f>
        <v>98306.001434802543</v>
      </c>
      <c r="G92">
        <f t="shared" si="61"/>
        <v>48453.478707529837</v>
      </c>
      <c r="H92" s="15">
        <f t="shared" si="62"/>
        <v>386</v>
      </c>
      <c r="I92">
        <f t="shared" si="90"/>
        <v>119648.14393939394</v>
      </c>
      <c r="J92" s="15">
        <f t="shared" si="63"/>
        <v>451</v>
      </c>
      <c r="K92">
        <f t="shared" si="64"/>
        <v>60681.455980257109</v>
      </c>
      <c r="L92" s="15">
        <f t="shared" si="65"/>
        <v>425</v>
      </c>
      <c r="M92">
        <f t="shared" si="66"/>
        <v>-3907.3470500459152</v>
      </c>
      <c r="N92" s="15">
        <f t="shared" si="67"/>
        <v>219</v>
      </c>
      <c r="O92">
        <f t="shared" si="68"/>
        <v>2676.9484044995388</v>
      </c>
      <c r="P92" s="15">
        <f t="shared" si="69"/>
        <v>240</v>
      </c>
      <c r="Q92">
        <f t="shared" si="70"/>
        <v>43436.872646923774</v>
      </c>
      <c r="R92" s="15">
        <f t="shared" si="71"/>
        <v>370</v>
      </c>
      <c r="S92">
        <f t="shared" si="72"/>
        <v>-31498.680383379244</v>
      </c>
      <c r="T92" s="15">
        <f t="shared" si="73"/>
        <v>131</v>
      </c>
      <c r="U92">
        <f t="shared" si="74"/>
        <v>-28363.301595500459</v>
      </c>
      <c r="V92" s="15">
        <f t="shared" si="75"/>
        <v>141</v>
      </c>
      <c r="W92">
        <f t="shared" si="76"/>
        <v>-11432.256140955005</v>
      </c>
      <c r="X92" s="15">
        <f t="shared" si="77"/>
        <v>195</v>
      </c>
      <c r="Y92">
        <f t="shared" si="78"/>
        <v>-58776.4758379247</v>
      </c>
      <c r="Z92" s="15">
        <f t="shared" si="79"/>
        <v>44</v>
      </c>
      <c r="AA92">
        <f t="shared" si="80"/>
        <v>32463.046889348021</v>
      </c>
      <c r="AB92" s="15">
        <f t="shared" si="81"/>
        <v>335</v>
      </c>
      <c r="AC92">
        <f t="shared" si="82"/>
        <v>15532.001434802567</v>
      </c>
      <c r="AD92" s="15">
        <f t="shared" si="83"/>
        <v>281</v>
      </c>
      <c r="AE92" s="27">
        <f t="shared" si="84"/>
        <v>20235.069616620749</v>
      </c>
      <c r="AF92" s="15">
        <f t="shared" si="85"/>
        <v>296</v>
      </c>
      <c r="AG92">
        <f t="shared" si="86"/>
        <v>13964.312040863173</v>
      </c>
      <c r="AH92" s="15">
        <f t="shared" si="87"/>
        <v>276</v>
      </c>
      <c r="AI92">
        <f t="shared" si="88"/>
        <v>21489.221131772265</v>
      </c>
      <c r="AJ92" s="15">
        <f t="shared" si="89"/>
        <v>300</v>
      </c>
    </row>
    <row r="93" spans="1:36" x14ac:dyDescent="0.25">
      <c r="A93" s="15"/>
      <c r="B93" s="15">
        <v>8</v>
      </c>
      <c r="C93" s="15">
        <v>828</v>
      </c>
      <c r="D93" s="15">
        <v>231.46212121212122</v>
      </c>
      <c r="E93" s="15">
        <v>335</v>
      </c>
      <c r="F93" s="15">
        <f>(C93-C134)^2</f>
        <v>355857.44082874194</v>
      </c>
      <c r="G93">
        <f t="shared" si="61"/>
        <v>187037.22113177224</v>
      </c>
      <c r="H93" s="15">
        <f t="shared" si="62"/>
        <v>545</v>
      </c>
      <c r="I93">
        <f t="shared" si="90"/>
        <v>127957.36363636363</v>
      </c>
      <c r="J93" s="15">
        <f t="shared" si="63"/>
        <v>386</v>
      </c>
      <c r="K93">
        <f t="shared" si="64"/>
        <v>130962.66052571165</v>
      </c>
      <c r="L93" s="15">
        <f t="shared" si="65"/>
        <v>451</v>
      </c>
      <c r="M93">
        <f t="shared" si="66"/>
        <v>115452.6756772268</v>
      </c>
      <c r="N93" s="15">
        <f t="shared" si="67"/>
        <v>425</v>
      </c>
      <c r="O93">
        <f t="shared" si="68"/>
        <v>-7434.1273530762201</v>
      </c>
      <c r="P93" s="15">
        <f t="shared" si="69"/>
        <v>219</v>
      </c>
      <c r="Q93">
        <f t="shared" si="70"/>
        <v>5093.168101469234</v>
      </c>
      <c r="R93" s="15">
        <f t="shared" si="71"/>
        <v>240</v>
      </c>
      <c r="S93">
        <f t="shared" si="72"/>
        <v>82643.09234389347</v>
      </c>
      <c r="T93" s="15">
        <f t="shared" si="73"/>
        <v>370</v>
      </c>
      <c r="U93">
        <f t="shared" si="74"/>
        <v>-59929.460686409548</v>
      </c>
      <c r="V93" s="15">
        <f t="shared" si="75"/>
        <v>131</v>
      </c>
      <c r="W93">
        <f t="shared" si="76"/>
        <v>-53964.081898530763</v>
      </c>
      <c r="X93" s="15">
        <f t="shared" si="77"/>
        <v>141</v>
      </c>
      <c r="Y93">
        <f t="shared" si="78"/>
        <v>-21751.036443985311</v>
      </c>
      <c r="Z93" s="15">
        <f t="shared" si="79"/>
        <v>195</v>
      </c>
      <c r="AA93">
        <f t="shared" si="80"/>
        <v>-111828.256140955</v>
      </c>
      <c r="AB93" s="15">
        <f t="shared" si="81"/>
        <v>44</v>
      </c>
      <c r="AC93">
        <f t="shared" si="82"/>
        <v>61764.266586317717</v>
      </c>
      <c r="AD93" s="15">
        <f t="shared" si="83"/>
        <v>335</v>
      </c>
      <c r="AE93" s="27">
        <f t="shared" si="84"/>
        <v>29551.221131772261</v>
      </c>
      <c r="AF93" s="15">
        <f t="shared" si="85"/>
        <v>281</v>
      </c>
      <c r="AG93">
        <f t="shared" si="86"/>
        <v>38499.289313590445</v>
      </c>
      <c r="AH93" s="15">
        <f t="shared" si="87"/>
        <v>296</v>
      </c>
      <c r="AI93">
        <f t="shared" si="88"/>
        <v>26568.531737832869</v>
      </c>
      <c r="AJ93" s="15">
        <f t="shared" si="89"/>
        <v>276</v>
      </c>
    </row>
    <row r="94" spans="1:36" x14ac:dyDescent="0.25">
      <c r="A94" s="15"/>
      <c r="B94" s="15">
        <v>9</v>
      </c>
      <c r="C94" s="15">
        <v>65</v>
      </c>
      <c r="D94" s="15">
        <v>231.46212121212122</v>
      </c>
      <c r="E94" s="15">
        <v>335</v>
      </c>
      <c r="F94" s="15">
        <f>(C94-C134)^2</f>
        <v>27709.637798438936</v>
      </c>
      <c r="G94">
        <f t="shared" si="61"/>
        <v>-99300.960686409555</v>
      </c>
      <c r="H94" s="15">
        <f t="shared" si="62"/>
        <v>828</v>
      </c>
      <c r="I94">
        <f t="shared" si="90"/>
        <v>20379.96212121212</v>
      </c>
      <c r="J94" s="15">
        <f t="shared" si="63"/>
        <v>545</v>
      </c>
      <c r="K94">
        <f t="shared" si="64"/>
        <v>-25724.703110651975</v>
      </c>
      <c r="L94" s="15">
        <f t="shared" si="65"/>
        <v>386</v>
      </c>
      <c r="M94">
        <f t="shared" si="66"/>
        <v>-36544.740989439852</v>
      </c>
      <c r="N94" s="15">
        <f t="shared" si="67"/>
        <v>451</v>
      </c>
      <c r="O94">
        <f t="shared" si="68"/>
        <v>-32216.725837924703</v>
      </c>
      <c r="P94" s="15">
        <f t="shared" si="69"/>
        <v>425</v>
      </c>
      <c r="Q94">
        <f t="shared" si="70"/>
        <v>2074.471131772269</v>
      </c>
      <c r="R94" s="15">
        <f t="shared" si="71"/>
        <v>219</v>
      </c>
      <c r="S94">
        <f t="shared" si="72"/>
        <v>-1421.2334136822765</v>
      </c>
      <c r="T94" s="15">
        <f t="shared" si="73"/>
        <v>240</v>
      </c>
      <c r="U94">
        <f t="shared" si="74"/>
        <v>-23061.309171258035</v>
      </c>
      <c r="V94" s="15">
        <f t="shared" si="75"/>
        <v>370</v>
      </c>
      <c r="W94">
        <f t="shared" si="76"/>
        <v>16723.137798438936</v>
      </c>
      <c r="X94" s="15">
        <f t="shared" si="77"/>
        <v>131</v>
      </c>
      <c r="Y94">
        <f t="shared" si="78"/>
        <v>15058.516586317724</v>
      </c>
      <c r="Z94" s="15">
        <f t="shared" si="79"/>
        <v>141</v>
      </c>
      <c r="AA94">
        <f t="shared" si="80"/>
        <v>6069.5620408631785</v>
      </c>
      <c r="AB94" s="15">
        <f t="shared" si="81"/>
        <v>195</v>
      </c>
      <c r="AC94">
        <f t="shared" si="82"/>
        <v>31205.342343893481</v>
      </c>
      <c r="AD94" s="15">
        <f t="shared" si="83"/>
        <v>44</v>
      </c>
      <c r="AE94" s="27">
        <f t="shared" si="84"/>
        <v>-17235.134928833791</v>
      </c>
      <c r="AF94" s="15">
        <f t="shared" si="85"/>
        <v>335</v>
      </c>
      <c r="AG94">
        <f t="shared" si="86"/>
        <v>-8246.1803833792455</v>
      </c>
      <c r="AH94" s="15">
        <f t="shared" si="87"/>
        <v>281</v>
      </c>
      <c r="AI94">
        <f t="shared" si="88"/>
        <v>-10743.112201561065</v>
      </c>
      <c r="AJ94" s="15">
        <f t="shared" si="89"/>
        <v>296</v>
      </c>
    </row>
    <row r="95" spans="1:36" x14ac:dyDescent="0.25">
      <c r="A95" s="15"/>
      <c r="B95" s="15">
        <v>10</v>
      </c>
      <c r="C95" s="15">
        <v>121</v>
      </c>
      <c r="D95" s="15">
        <v>231.46212121212122</v>
      </c>
      <c r="E95" s="15">
        <v>335</v>
      </c>
      <c r="F95" s="15">
        <f>(C95-C134)^2</f>
        <v>12201.88022268136</v>
      </c>
      <c r="G95">
        <f t="shared" si="61"/>
        <v>18387.759010560148</v>
      </c>
      <c r="H95" s="15">
        <f t="shared" si="62"/>
        <v>65</v>
      </c>
      <c r="I95">
        <f t="shared" si="90"/>
        <v>72181.083333333328</v>
      </c>
      <c r="J95" s="15">
        <f t="shared" si="63"/>
        <v>828</v>
      </c>
      <c r="K95">
        <f t="shared" si="64"/>
        <v>-34634.059171258035</v>
      </c>
      <c r="L95" s="15">
        <f t="shared" si="65"/>
        <v>545</v>
      </c>
      <c r="M95">
        <f t="shared" si="66"/>
        <v>-17070.581898530763</v>
      </c>
      <c r="N95" s="15">
        <f t="shared" si="67"/>
        <v>386</v>
      </c>
      <c r="O95">
        <f t="shared" si="68"/>
        <v>-24250.619777318643</v>
      </c>
      <c r="P95" s="15">
        <f t="shared" si="69"/>
        <v>451</v>
      </c>
      <c r="Q95">
        <f t="shared" si="70"/>
        <v>-21378.604625803491</v>
      </c>
      <c r="R95" s="15">
        <f t="shared" si="71"/>
        <v>425</v>
      </c>
      <c r="S95">
        <f t="shared" si="72"/>
        <v>1376.592343893481</v>
      </c>
      <c r="T95" s="15">
        <f t="shared" si="73"/>
        <v>219</v>
      </c>
      <c r="U95">
        <f t="shared" si="74"/>
        <v>-943.11220156106458</v>
      </c>
      <c r="V95" s="15">
        <f t="shared" si="75"/>
        <v>240</v>
      </c>
      <c r="W95">
        <f t="shared" si="76"/>
        <v>-15303.187959136823</v>
      </c>
      <c r="X95" s="15">
        <f t="shared" si="77"/>
        <v>370</v>
      </c>
      <c r="Y95">
        <f t="shared" si="78"/>
        <v>11097.259010560148</v>
      </c>
      <c r="Z95" s="15">
        <f t="shared" si="79"/>
        <v>131</v>
      </c>
      <c r="AA95">
        <f t="shared" si="80"/>
        <v>9992.6377984389364</v>
      </c>
      <c r="AB95" s="15">
        <f t="shared" si="81"/>
        <v>141</v>
      </c>
      <c r="AC95">
        <f t="shared" si="82"/>
        <v>4027.68325298439</v>
      </c>
      <c r="AD95" s="15">
        <f t="shared" si="83"/>
        <v>195</v>
      </c>
      <c r="AE95" s="27">
        <f t="shared" si="84"/>
        <v>20707.463556014693</v>
      </c>
      <c r="AF95" s="15">
        <f t="shared" si="85"/>
        <v>44</v>
      </c>
      <c r="AG95">
        <f t="shared" si="86"/>
        <v>-11437.013716712579</v>
      </c>
      <c r="AH95" s="15">
        <f t="shared" si="87"/>
        <v>335</v>
      </c>
      <c r="AI95">
        <f t="shared" si="88"/>
        <v>-5472.0591712580344</v>
      </c>
      <c r="AJ95" s="15">
        <f t="shared" si="89"/>
        <v>281</v>
      </c>
    </row>
    <row r="96" spans="1:36" x14ac:dyDescent="0.25">
      <c r="A96" s="15"/>
      <c r="B96" s="15">
        <v>11</v>
      </c>
      <c r="C96" s="15">
        <v>254</v>
      </c>
      <c r="D96" s="15">
        <v>231.46212121212122</v>
      </c>
      <c r="E96" s="15">
        <v>335</v>
      </c>
      <c r="F96" s="15">
        <f>(C96-C134)^2</f>
        <v>507.95598025711632</v>
      </c>
      <c r="G96">
        <f t="shared" si="61"/>
        <v>-2489.5818985307615</v>
      </c>
      <c r="H96" s="15">
        <f t="shared" si="62"/>
        <v>121</v>
      </c>
      <c r="I96">
        <f t="shared" si="90"/>
        <v>-42281.378787878792</v>
      </c>
      <c r="J96" s="15">
        <f t="shared" si="63"/>
        <v>65</v>
      </c>
      <c r="K96">
        <f t="shared" si="64"/>
        <v>13444.698404499537</v>
      </c>
      <c r="L96" s="15">
        <f t="shared" si="65"/>
        <v>828</v>
      </c>
      <c r="M96">
        <f t="shared" si="66"/>
        <v>7066.4787075298409</v>
      </c>
      <c r="N96" s="15">
        <f t="shared" si="67"/>
        <v>545</v>
      </c>
      <c r="O96">
        <f t="shared" si="68"/>
        <v>3482.9559802571157</v>
      </c>
      <c r="P96" s="15">
        <f t="shared" si="69"/>
        <v>386</v>
      </c>
      <c r="Q96">
        <f t="shared" si="70"/>
        <v>4947.9181014692367</v>
      </c>
      <c r="R96" s="15">
        <f t="shared" si="71"/>
        <v>451</v>
      </c>
      <c r="S96">
        <f t="shared" si="72"/>
        <v>4361.9332529843878</v>
      </c>
      <c r="T96" s="15">
        <f t="shared" si="73"/>
        <v>425</v>
      </c>
      <c r="U96">
        <f t="shared" si="74"/>
        <v>-280.86977731864101</v>
      </c>
      <c r="V96" s="15">
        <f t="shared" si="75"/>
        <v>219</v>
      </c>
      <c r="W96">
        <f t="shared" si="76"/>
        <v>192.42567722681341</v>
      </c>
      <c r="X96" s="15">
        <f t="shared" si="77"/>
        <v>240</v>
      </c>
      <c r="Y96">
        <f t="shared" si="78"/>
        <v>3122.3499196510552</v>
      </c>
      <c r="Z96" s="15">
        <f t="shared" si="79"/>
        <v>370</v>
      </c>
      <c r="AA96">
        <f t="shared" si="80"/>
        <v>-2264.2031106519739</v>
      </c>
      <c r="AB96" s="15">
        <f t="shared" si="81"/>
        <v>131</v>
      </c>
      <c r="AC96">
        <f t="shared" si="82"/>
        <v>-2038.8243227731859</v>
      </c>
      <c r="AD96" s="15">
        <f t="shared" si="83"/>
        <v>141</v>
      </c>
      <c r="AE96" s="27">
        <f t="shared" si="84"/>
        <v>-821.77886822773178</v>
      </c>
      <c r="AF96" s="15">
        <f t="shared" si="85"/>
        <v>195</v>
      </c>
      <c r="AG96">
        <f t="shared" si="86"/>
        <v>-4224.9985651974275</v>
      </c>
      <c r="AH96" s="15">
        <f t="shared" si="87"/>
        <v>44</v>
      </c>
      <c r="AI96">
        <f t="shared" si="88"/>
        <v>2333.5241620752977</v>
      </c>
      <c r="AJ96" s="15">
        <f t="shared" si="89"/>
        <v>335</v>
      </c>
    </row>
    <row r="97" spans="1:36" x14ac:dyDescent="0.25">
      <c r="A97" s="15">
        <v>2019</v>
      </c>
      <c r="B97" s="15">
        <v>12</v>
      </c>
      <c r="C97" s="15">
        <v>116</v>
      </c>
      <c r="D97" s="15">
        <v>231.46212121212122</v>
      </c>
      <c r="E97" s="15">
        <f>SUM(C86:C97)/COUNT(C86:C97)</f>
        <v>335</v>
      </c>
      <c r="F97" s="15">
        <f>(C97-C134)^2</f>
        <v>13331.501434802572</v>
      </c>
      <c r="G97">
        <f t="shared" si="61"/>
        <v>-2602.2712924701555</v>
      </c>
      <c r="H97" s="15">
        <f t="shared" si="62"/>
        <v>254</v>
      </c>
      <c r="I97">
        <f t="shared" si="90"/>
        <v>-12813.606060606062</v>
      </c>
      <c r="J97" s="15">
        <f t="shared" si="63"/>
        <v>121</v>
      </c>
      <c r="K97">
        <f t="shared" si="64"/>
        <v>19220.069616620756</v>
      </c>
      <c r="L97" s="15">
        <f t="shared" si="65"/>
        <v>65</v>
      </c>
      <c r="M97">
        <f t="shared" si="66"/>
        <v>-68877.528868227731</v>
      </c>
      <c r="N97" s="15">
        <f t="shared" si="67"/>
        <v>828</v>
      </c>
      <c r="O97">
        <f t="shared" si="68"/>
        <v>-36201.748565197428</v>
      </c>
      <c r="P97" s="15">
        <f t="shared" si="69"/>
        <v>545</v>
      </c>
      <c r="Q97">
        <f t="shared" si="70"/>
        <v>-17843.271292470155</v>
      </c>
      <c r="R97" s="15">
        <f t="shared" si="71"/>
        <v>386</v>
      </c>
      <c r="S97">
        <f t="shared" si="72"/>
        <v>-25348.309171258035</v>
      </c>
      <c r="T97" s="15">
        <f t="shared" si="73"/>
        <v>451</v>
      </c>
      <c r="U97">
        <f t="shared" si="74"/>
        <v>-22346.294019742883</v>
      </c>
      <c r="V97" s="15">
        <f t="shared" si="75"/>
        <v>425</v>
      </c>
      <c r="W97">
        <f t="shared" si="76"/>
        <v>1438.902949954087</v>
      </c>
      <c r="X97" s="15">
        <f t="shared" si="77"/>
        <v>219</v>
      </c>
      <c r="Y97">
        <f t="shared" si="78"/>
        <v>-985.80159550045846</v>
      </c>
      <c r="Z97" s="15">
        <f t="shared" si="79"/>
        <v>240</v>
      </c>
      <c r="AA97">
        <f t="shared" si="80"/>
        <v>-15995.877353076217</v>
      </c>
      <c r="AB97" s="15">
        <f t="shared" si="81"/>
        <v>370</v>
      </c>
      <c r="AC97">
        <f t="shared" si="82"/>
        <v>11599.569616620754</v>
      </c>
      <c r="AD97" s="15">
        <f t="shared" si="83"/>
        <v>131</v>
      </c>
      <c r="AE97" s="27">
        <f t="shared" si="84"/>
        <v>10444.948404499542</v>
      </c>
      <c r="AF97" s="15">
        <f t="shared" si="85"/>
        <v>141</v>
      </c>
      <c r="AG97">
        <f t="shared" si="86"/>
        <v>4209.9938590449965</v>
      </c>
      <c r="AH97" s="15">
        <f t="shared" si="87"/>
        <v>195</v>
      </c>
      <c r="AI97">
        <f t="shared" si="88"/>
        <v>21644.7741620753</v>
      </c>
      <c r="AJ97" s="15">
        <f t="shared" si="89"/>
        <v>44</v>
      </c>
    </row>
    <row r="98" spans="1:36" x14ac:dyDescent="0.25">
      <c r="A98" s="15"/>
      <c r="B98" s="15">
        <v>1</v>
      </c>
      <c r="C98" s="15">
        <v>358</v>
      </c>
      <c r="D98" s="15">
        <v>231.46212121212122</v>
      </c>
      <c r="E98" s="15">
        <v>224.75</v>
      </c>
      <c r="F98" s="15">
        <f>(C98-C134)^2</f>
        <v>16011.834768135903</v>
      </c>
      <c r="G98">
        <f t="shared" si="61"/>
        <v>-14610.331898530761</v>
      </c>
      <c r="H98" s="15">
        <f t="shared" si="62"/>
        <v>116</v>
      </c>
      <c r="I98">
        <f t="shared" si="90"/>
        <v>8068.5606060606042</v>
      </c>
      <c r="J98" s="15">
        <f t="shared" si="63"/>
        <v>254</v>
      </c>
      <c r="K98">
        <f t="shared" si="64"/>
        <v>-13977.642504591367</v>
      </c>
      <c r="L98" s="15">
        <f t="shared" si="65"/>
        <v>121</v>
      </c>
      <c r="M98">
        <f t="shared" si="66"/>
        <v>-21063.763716712579</v>
      </c>
      <c r="N98" s="15">
        <f t="shared" si="67"/>
        <v>65</v>
      </c>
      <c r="O98">
        <f t="shared" si="68"/>
        <v>75484.637798438926</v>
      </c>
      <c r="P98" s="15">
        <f t="shared" si="69"/>
        <v>828</v>
      </c>
      <c r="Q98">
        <f t="shared" si="70"/>
        <v>39674.418101469229</v>
      </c>
      <c r="R98" s="15">
        <f t="shared" si="71"/>
        <v>545</v>
      </c>
      <c r="S98">
        <f t="shared" si="72"/>
        <v>19554.895374196509</v>
      </c>
      <c r="T98" s="15">
        <f t="shared" si="73"/>
        <v>386</v>
      </c>
      <c r="U98">
        <f t="shared" si="74"/>
        <v>27779.857495408629</v>
      </c>
      <c r="V98" s="15">
        <f t="shared" si="75"/>
        <v>451</v>
      </c>
      <c r="W98">
        <f t="shared" si="76"/>
        <v>24489.872646923781</v>
      </c>
      <c r="X98" s="15">
        <f t="shared" si="77"/>
        <v>425</v>
      </c>
      <c r="Y98">
        <f t="shared" si="78"/>
        <v>-1576.9303833792478</v>
      </c>
      <c r="Z98" s="15">
        <f t="shared" si="79"/>
        <v>219</v>
      </c>
      <c r="AA98">
        <f t="shared" si="80"/>
        <v>1080.3650711662067</v>
      </c>
      <c r="AB98" s="15">
        <f t="shared" si="81"/>
        <v>240</v>
      </c>
      <c r="AC98">
        <f t="shared" si="82"/>
        <v>17530.289313590449</v>
      </c>
      <c r="AD98" s="15">
        <f t="shared" si="83"/>
        <v>370</v>
      </c>
      <c r="AE98" s="27">
        <f t="shared" si="84"/>
        <v>-12712.263716712581</v>
      </c>
      <c r="AF98" s="15">
        <f t="shared" si="85"/>
        <v>131</v>
      </c>
      <c r="AG98">
        <f t="shared" si="86"/>
        <v>-11446.884928833793</v>
      </c>
      <c r="AH98" s="15">
        <f t="shared" si="87"/>
        <v>141</v>
      </c>
      <c r="AI98">
        <f t="shared" si="88"/>
        <v>-4613.8394742883384</v>
      </c>
      <c r="AJ98" s="15">
        <f t="shared" si="89"/>
        <v>195</v>
      </c>
    </row>
    <row r="99" spans="1:36" x14ac:dyDescent="0.25">
      <c r="A99" s="15"/>
      <c r="B99" s="15">
        <v>2</v>
      </c>
      <c r="C99" s="15">
        <v>190</v>
      </c>
      <c r="D99" s="15">
        <v>231.46212121212122</v>
      </c>
      <c r="E99" s="15">
        <v>224.75</v>
      </c>
      <c r="F99" s="15">
        <f>(C99-C134)^2</f>
        <v>1719.1074954086323</v>
      </c>
      <c r="G99">
        <f t="shared" ref="G99:G130" si="91">(C99-$C$134)*(H99-$C$134)</f>
        <v>-5246.5288682277323</v>
      </c>
      <c r="H99" s="15">
        <f t="shared" ref="H99:H133" si="92">C98</f>
        <v>358</v>
      </c>
      <c r="I99">
        <f t="shared" si="90"/>
        <v>-21937.803030303032</v>
      </c>
      <c r="J99" s="15">
        <f t="shared" si="63"/>
        <v>116</v>
      </c>
      <c r="K99">
        <f t="shared" si="64"/>
        <v>-934.46826216712566</v>
      </c>
      <c r="L99" s="15">
        <f t="shared" si="65"/>
        <v>254</v>
      </c>
      <c r="M99">
        <f t="shared" si="66"/>
        <v>4579.9938590449965</v>
      </c>
      <c r="N99" s="15">
        <f t="shared" si="67"/>
        <v>121</v>
      </c>
      <c r="O99">
        <f t="shared" si="68"/>
        <v>6901.8726469237845</v>
      </c>
      <c r="P99" s="15">
        <f t="shared" si="69"/>
        <v>65</v>
      </c>
      <c r="Q99">
        <f t="shared" si="70"/>
        <v>-24733.725837924703</v>
      </c>
      <c r="R99" s="15">
        <f t="shared" si="71"/>
        <v>828</v>
      </c>
      <c r="S99">
        <f t="shared" si="72"/>
        <v>-12999.945534894399</v>
      </c>
      <c r="T99" s="15">
        <f t="shared" si="73"/>
        <v>545</v>
      </c>
      <c r="U99">
        <f t="shared" si="74"/>
        <v>-6407.4682621671263</v>
      </c>
      <c r="V99" s="15">
        <f t="shared" si="75"/>
        <v>386</v>
      </c>
      <c r="W99">
        <f t="shared" si="76"/>
        <v>-9102.5061409550053</v>
      </c>
      <c r="X99" s="15">
        <f t="shared" si="77"/>
        <v>451</v>
      </c>
      <c r="Y99">
        <f t="shared" si="78"/>
        <v>-8024.4909894398543</v>
      </c>
      <c r="Z99" s="15">
        <f t="shared" si="79"/>
        <v>425</v>
      </c>
      <c r="AA99">
        <f t="shared" si="80"/>
        <v>516.70598025711695</v>
      </c>
      <c r="AB99" s="15">
        <f t="shared" si="81"/>
        <v>219</v>
      </c>
      <c r="AC99">
        <f t="shared" si="82"/>
        <v>-353.99856519742866</v>
      </c>
      <c r="AD99" s="15">
        <f t="shared" si="83"/>
        <v>240</v>
      </c>
      <c r="AE99" s="27">
        <f t="shared" si="84"/>
        <v>-5744.0743227731873</v>
      </c>
      <c r="AF99" s="15">
        <f t="shared" si="85"/>
        <v>370</v>
      </c>
      <c r="AG99">
        <f t="shared" si="86"/>
        <v>4165.3726469237845</v>
      </c>
      <c r="AH99" s="15">
        <f t="shared" si="87"/>
        <v>131</v>
      </c>
      <c r="AI99">
        <f t="shared" si="88"/>
        <v>3750.751434802572</v>
      </c>
      <c r="AJ99" s="15">
        <f t="shared" si="89"/>
        <v>141</v>
      </c>
    </row>
    <row r="100" spans="1:36" x14ac:dyDescent="0.25">
      <c r="A100" s="15"/>
      <c r="B100" s="15">
        <v>3</v>
      </c>
      <c r="C100" s="15">
        <v>108</v>
      </c>
      <c r="D100" s="15">
        <v>231.46212121212122</v>
      </c>
      <c r="E100" s="15">
        <v>224.75</v>
      </c>
      <c r="F100" s="15">
        <f>(C100-C134)^2</f>
        <v>15242.895374196512</v>
      </c>
      <c r="G100">
        <f t="shared" si="91"/>
        <v>5119.0014348025725</v>
      </c>
      <c r="H100" s="15">
        <f t="shared" si="92"/>
        <v>190</v>
      </c>
      <c r="I100">
        <f t="shared" si="90"/>
        <v>13666.090909090908</v>
      </c>
      <c r="J100" s="15">
        <f t="shared" ref="J100:J133" si="93">H99</f>
        <v>358</v>
      </c>
      <c r="K100">
        <f t="shared" si="64"/>
        <v>14255.198404499542</v>
      </c>
      <c r="L100" s="15">
        <f t="shared" si="65"/>
        <v>116</v>
      </c>
      <c r="M100">
        <f t="shared" si="66"/>
        <v>-2782.5743227731859</v>
      </c>
      <c r="N100" s="15">
        <f t="shared" si="67"/>
        <v>254</v>
      </c>
      <c r="O100">
        <f t="shared" si="68"/>
        <v>13637.887798438936</v>
      </c>
      <c r="P100" s="15">
        <f t="shared" si="69"/>
        <v>121</v>
      </c>
      <c r="Q100">
        <f t="shared" si="70"/>
        <v>20551.766586317724</v>
      </c>
      <c r="R100" s="15">
        <f t="shared" si="71"/>
        <v>65</v>
      </c>
      <c r="S100">
        <f t="shared" si="72"/>
        <v>-73649.831898530756</v>
      </c>
      <c r="T100" s="15">
        <f t="shared" si="73"/>
        <v>828</v>
      </c>
      <c r="U100">
        <f t="shared" si="74"/>
        <v>-38710.051595500459</v>
      </c>
      <c r="V100" s="15">
        <f t="shared" si="75"/>
        <v>545</v>
      </c>
      <c r="W100">
        <f t="shared" si="76"/>
        <v>-19079.574322773187</v>
      </c>
      <c r="X100" s="15">
        <f t="shared" si="77"/>
        <v>386</v>
      </c>
      <c r="Y100">
        <f t="shared" si="78"/>
        <v>-27104.612201561067</v>
      </c>
      <c r="Z100" s="15">
        <f t="shared" si="79"/>
        <v>451</v>
      </c>
      <c r="AA100">
        <f t="shared" si="80"/>
        <v>-23894.597050045915</v>
      </c>
      <c r="AB100" s="15">
        <f t="shared" si="81"/>
        <v>425</v>
      </c>
      <c r="AC100">
        <f t="shared" si="82"/>
        <v>1538.5999196510568</v>
      </c>
      <c r="AD100" s="15">
        <f t="shared" si="83"/>
        <v>219</v>
      </c>
      <c r="AE100" s="27">
        <f t="shared" si="84"/>
        <v>-1054.1046258034887</v>
      </c>
      <c r="AF100" s="15">
        <f t="shared" si="85"/>
        <v>240</v>
      </c>
      <c r="AG100">
        <f t="shared" si="86"/>
        <v>-17104.180383379247</v>
      </c>
      <c r="AH100" s="15">
        <f t="shared" si="87"/>
        <v>370</v>
      </c>
      <c r="AI100">
        <f t="shared" si="88"/>
        <v>12403.266586317724</v>
      </c>
      <c r="AJ100" s="15">
        <f t="shared" si="89"/>
        <v>131</v>
      </c>
    </row>
    <row r="101" spans="1:36" x14ac:dyDescent="0.25">
      <c r="A101" s="15"/>
      <c r="B101" s="15">
        <v>4</v>
      </c>
      <c r="C101" s="15">
        <v>175</v>
      </c>
      <c r="D101" s="15">
        <v>231.46212121212122</v>
      </c>
      <c r="E101" s="15">
        <v>224.75</v>
      </c>
      <c r="F101" s="15">
        <f>(C101-C134)^2</f>
        <v>3187.971131772269</v>
      </c>
      <c r="G101">
        <f t="shared" si="91"/>
        <v>6970.9332529843905</v>
      </c>
      <c r="H101" s="15">
        <f t="shared" si="92"/>
        <v>108</v>
      </c>
      <c r="I101">
        <f t="shared" si="90"/>
        <v>-7255.8712121212129</v>
      </c>
      <c r="J101" s="15">
        <f t="shared" si="93"/>
        <v>190</v>
      </c>
      <c r="K101">
        <f t="shared" ref="K101:K132" si="94">(C101-$C$134)*(L101-$C$134)</f>
        <v>-7144.5970500459143</v>
      </c>
      <c r="L101" s="15">
        <f t="shared" ref="L101:L133" si="95">J100</f>
        <v>358</v>
      </c>
      <c r="M101">
        <f t="shared" si="66"/>
        <v>6519.2362832874205</v>
      </c>
      <c r="N101" s="15">
        <f t="shared" si="67"/>
        <v>116</v>
      </c>
      <c r="O101">
        <f t="shared" si="68"/>
        <v>-1272.5364439853074</v>
      </c>
      <c r="P101" s="15">
        <f t="shared" si="69"/>
        <v>254</v>
      </c>
      <c r="Q101">
        <f t="shared" si="70"/>
        <v>6236.9256772268145</v>
      </c>
      <c r="R101" s="15">
        <f t="shared" si="71"/>
        <v>121</v>
      </c>
      <c r="S101">
        <f t="shared" si="72"/>
        <v>9398.8044651056025</v>
      </c>
      <c r="T101" s="15">
        <f t="shared" si="73"/>
        <v>65</v>
      </c>
      <c r="U101">
        <f t="shared" si="74"/>
        <v>-33681.794019742883</v>
      </c>
      <c r="V101" s="15">
        <f t="shared" si="75"/>
        <v>828</v>
      </c>
      <c r="W101">
        <f t="shared" si="76"/>
        <v>-17703.013716712579</v>
      </c>
      <c r="X101" s="15">
        <f t="shared" si="77"/>
        <v>545</v>
      </c>
      <c r="Y101">
        <f t="shared" si="78"/>
        <v>-8725.5364439853074</v>
      </c>
      <c r="Z101" s="15">
        <f t="shared" si="79"/>
        <v>386</v>
      </c>
      <c r="AA101">
        <f t="shared" si="80"/>
        <v>-12395.574322773187</v>
      </c>
      <c r="AB101" s="15">
        <f t="shared" si="81"/>
        <v>451</v>
      </c>
      <c r="AC101">
        <f t="shared" si="82"/>
        <v>-10927.559171258035</v>
      </c>
      <c r="AD101" s="15">
        <f t="shared" si="83"/>
        <v>425</v>
      </c>
      <c r="AE101" s="27">
        <f t="shared" si="84"/>
        <v>703.63779843893519</v>
      </c>
      <c r="AF101" s="15">
        <f t="shared" si="85"/>
        <v>219</v>
      </c>
      <c r="AG101">
        <f t="shared" si="86"/>
        <v>-482.06674701561036</v>
      </c>
      <c r="AH101" s="15">
        <f t="shared" si="87"/>
        <v>240</v>
      </c>
      <c r="AI101">
        <f t="shared" si="88"/>
        <v>-7822.1425045913684</v>
      </c>
      <c r="AJ101" s="15">
        <f t="shared" si="89"/>
        <v>370</v>
      </c>
    </row>
    <row r="102" spans="1:36" x14ac:dyDescent="0.25">
      <c r="A102" s="15"/>
      <c r="B102" s="15">
        <v>5</v>
      </c>
      <c r="C102" s="15">
        <v>214</v>
      </c>
      <c r="D102" s="15">
        <v>231.46212121212122</v>
      </c>
      <c r="E102" s="15">
        <v>224.75</v>
      </c>
      <c r="F102" s="15">
        <f>(C102-C134)^2</f>
        <v>304.92567722681378</v>
      </c>
      <c r="G102">
        <f t="shared" si="91"/>
        <v>985.94840449954131</v>
      </c>
      <c r="H102" s="15">
        <f t="shared" si="92"/>
        <v>175</v>
      </c>
      <c r="I102">
        <f t="shared" si="90"/>
        <v>-26420.89393939394</v>
      </c>
      <c r="J102" s="15">
        <f t="shared" si="93"/>
        <v>108</v>
      </c>
      <c r="K102">
        <f t="shared" si="94"/>
        <v>724.01658631772307</v>
      </c>
      <c r="L102" s="15">
        <f t="shared" si="95"/>
        <v>190</v>
      </c>
      <c r="M102">
        <f t="shared" ref="M102:M133" si="96">(C102-$C$134)*(N102-$C$134)</f>
        <v>-2209.6197773186418</v>
      </c>
      <c r="N102" s="15">
        <f t="shared" ref="N102:N133" si="97">L101</f>
        <v>358</v>
      </c>
      <c r="O102">
        <f t="shared" si="68"/>
        <v>2016.2135560146933</v>
      </c>
      <c r="P102" s="15">
        <f t="shared" si="69"/>
        <v>116</v>
      </c>
      <c r="Q102">
        <f t="shared" si="70"/>
        <v>-393.55917125803495</v>
      </c>
      <c r="R102" s="15">
        <f t="shared" si="71"/>
        <v>254</v>
      </c>
      <c r="S102">
        <f t="shared" si="72"/>
        <v>1928.902949954087</v>
      </c>
      <c r="T102" s="15">
        <f t="shared" si="73"/>
        <v>121</v>
      </c>
      <c r="U102">
        <f t="shared" si="74"/>
        <v>2906.7817378328755</v>
      </c>
      <c r="V102" s="15">
        <f t="shared" si="75"/>
        <v>65</v>
      </c>
      <c r="W102">
        <f t="shared" si="76"/>
        <v>-10416.816747015613</v>
      </c>
      <c r="X102" s="15">
        <f t="shared" si="77"/>
        <v>828</v>
      </c>
      <c r="Y102">
        <f t="shared" si="78"/>
        <v>-5475.0364439853092</v>
      </c>
      <c r="Z102" s="15">
        <f t="shared" si="79"/>
        <v>545</v>
      </c>
      <c r="AA102">
        <f t="shared" si="80"/>
        <v>-2698.5591712580358</v>
      </c>
      <c r="AB102" s="15">
        <f t="shared" si="81"/>
        <v>386</v>
      </c>
      <c r="AC102">
        <f t="shared" si="82"/>
        <v>-3833.5970500459148</v>
      </c>
      <c r="AD102" s="15">
        <f t="shared" si="83"/>
        <v>451</v>
      </c>
      <c r="AE102" s="27">
        <f t="shared" si="84"/>
        <v>-3379.5818985307633</v>
      </c>
      <c r="AF102" s="15">
        <f t="shared" si="85"/>
        <v>425</v>
      </c>
      <c r="AG102">
        <f t="shared" si="86"/>
        <v>217.61507116620771</v>
      </c>
      <c r="AH102" s="15">
        <f t="shared" si="87"/>
        <v>219</v>
      </c>
      <c r="AI102">
        <f t="shared" si="88"/>
        <v>-149.08947428833787</v>
      </c>
      <c r="AJ102" s="15">
        <f t="shared" si="89"/>
        <v>240</v>
      </c>
    </row>
    <row r="103" spans="1:36" x14ac:dyDescent="0.25">
      <c r="A103" s="15"/>
      <c r="B103" s="15">
        <v>6</v>
      </c>
      <c r="C103" s="15">
        <v>298</v>
      </c>
      <c r="D103" s="15">
        <v>231.46212121212122</v>
      </c>
      <c r="E103" s="15">
        <v>224.75</v>
      </c>
      <c r="F103" s="15">
        <f>(C103-C134)^2</f>
        <v>4427.2893135904487</v>
      </c>
      <c r="G103">
        <f t="shared" si="91"/>
        <v>-1161.8925045913686</v>
      </c>
      <c r="H103" s="15">
        <f t="shared" si="92"/>
        <v>214</v>
      </c>
      <c r="I103">
        <f t="shared" si="90"/>
        <v>-16825.712121212124</v>
      </c>
      <c r="J103" s="15">
        <f t="shared" si="93"/>
        <v>175</v>
      </c>
      <c r="K103">
        <f t="shared" si="94"/>
        <v>-8214.9076561065194</v>
      </c>
      <c r="L103" s="15">
        <f t="shared" si="95"/>
        <v>108</v>
      </c>
      <c r="M103">
        <f t="shared" si="96"/>
        <v>-2758.8015955004594</v>
      </c>
      <c r="N103" s="15">
        <f t="shared" si="97"/>
        <v>190</v>
      </c>
      <c r="O103">
        <f t="shared" ref="O103:O133" si="98">(C103-$C$134)*(P103-$C$134)</f>
        <v>8419.5620408631767</v>
      </c>
      <c r="P103" s="15">
        <f t="shared" ref="P103:P133" si="99">N102</f>
        <v>358</v>
      </c>
      <c r="Q103">
        <f t="shared" si="70"/>
        <v>-7682.6046258034894</v>
      </c>
      <c r="R103" s="15">
        <f t="shared" si="71"/>
        <v>116</v>
      </c>
      <c r="S103">
        <f t="shared" si="72"/>
        <v>1499.6226469237827</v>
      </c>
      <c r="T103" s="15">
        <f t="shared" si="73"/>
        <v>254</v>
      </c>
      <c r="U103">
        <f t="shared" si="74"/>
        <v>-7349.9152318640954</v>
      </c>
      <c r="V103" s="15">
        <f t="shared" si="75"/>
        <v>121</v>
      </c>
      <c r="W103">
        <f t="shared" si="76"/>
        <v>-11076.036443985307</v>
      </c>
      <c r="X103" s="15">
        <f t="shared" si="77"/>
        <v>65</v>
      </c>
      <c r="Y103">
        <f t="shared" si="78"/>
        <v>39692.365071166205</v>
      </c>
      <c r="Z103" s="15">
        <f t="shared" si="79"/>
        <v>828</v>
      </c>
      <c r="AA103">
        <f t="shared" si="80"/>
        <v>20862.145374196505</v>
      </c>
      <c r="AB103" s="15">
        <f t="shared" si="81"/>
        <v>545</v>
      </c>
      <c r="AC103">
        <f t="shared" si="82"/>
        <v>10282.622646923783</v>
      </c>
      <c r="AD103" s="15">
        <f t="shared" si="83"/>
        <v>386</v>
      </c>
      <c r="AE103" s="27">
        <f t="shared" si="84"/>
        <v>14607.584768135903</v>
      </c>
      <c r="AF103" s="15">
        <f t="shared" si="85"/>
        <v>451</v>
      </c>
      <c r="AG103">
        <f t="shared" si="86"/>
        <v>12877.599919651055</v>
      </c>
      <c r="AH103" s="15">
        <f t="shared" si="87"/>
        <v>425</v>
      </c>
      <c r="AI103">
        <f t="shared" si="88"/>
        <v>-829.20311065197461</v>
      </c>
      <c r="AJ103" s="15">
        <f t="shared" si="89"/>
        <v>219</v>
      </c>
    </row>
    <row r="104" spans="1:36" x14ac:dyDescent="0.25">
      <c r="A104" s="15"/>
      <c r="B104" s="15">
        <v>7</v>
      </c>
      <c r="C104" s="15">
        <v>326</v>
      </c>
      <c r="D104" s="15">
        <v>231.46212121212122</v>
      </c>
      <c r="E104" s="15">
        <v>224.75</v>
      </c>
      <c r="F104" s="15">
        <f>(C104-C134)^2</f>
        <v>8937.4105257116607</v>
      </c>
      <c r="G104">
        <f t="shared" si="91"/>
        <v>6290.3499196510547</v>
      </c>
      <c r="H104" s="15">
        <f t="shared" si="92"/>
        <v>298</v>
      </c>
      <c r="I104">
        <f t="shared" si="90"/>
        <v>-5692.6515151515168</v>
      </c>
      <c r="J104" s="15">
        <f t="shared" si="93"/>
        <v>214</v>
      </c>
      <c r="K104">
        <f t="shared" si="94"/>
        <v>-5337.8091712580353</v>
      </c>
      <c r="L104" s="15">
        <f t="shared" si="95"/>
        <v>175</v>
      </c>
      <c r="M104">
        <f t="shared" si="96"/>
        <v>-11671.847050045913</v>
      </c>
      <c r="N104" s="15">
        <f t="shared" si="97"/>
        <v>108</v>
      </c>
      <c r="O104">
        <f t="shared" si="98"/>
        <v>-3919.7409894398534</v>
      </c>
      <c r="P104" s="15">
        <f t="shared" si="99"/>
        <v>190</v>
      </c>
      <c r="Q104">
        <f t="shared" ref="Q104:Q133" si="100">(C104-$C$134)*(R104-$C$134)</f>
        <v>11962.622646923783</v>
      </c>
      <c r="R104" s="15">
        <f t="shared" ref="R104:R133" si="101">P103</f>
        <v>358</v>
      </c>
      <c r="S104">
        <f t="shared" si="72"/>
        <v>-10915.544019742883</v>
      </c>
      <c r="T104" s="15">
        <f t="shared" si="73"/>
        <v>116</v>
      </c>
      <c r="U104">
        <f t="shared" si="74"/>
        <v>2130.6832529843887</v>
      </c>
      <c r="V104" s="15">
        <f t="shared" si="75"/>
        <v>254</v>
      </c>
      <c r="W104">
        <f t="shared" si="76"/>
        <v>-10442.854625803489</v>
      </c>
      <c r="X104" s="15">
        <f t="shared" si="77"/>
        <v>121</v>
      </c>
      <c r="Y104">
        <f t="shared" si="78"/>
        <v>-15736.975837924701</v>
      </c>
      <c r="Z104" s="15">
        <f t="shared" si="79"/>
        <v>65</v>
      </c>
      <c r="AA104">
        <f t="shared" si="80"/>
        <v>56395.425677226805</v>
      </c>
      <c r="AB104" s="15">
        <f t="shared" si="81"/>
        <v>828</v>
      </c>
      <c r="AC104">
        <f t="shared" si="82"/>
        <v>29641.205980257113</v>
      </c>
      <c r="AD104" s="15">
        <f t="shared" si="83"/>
        <v>545</v>
      </c>
      <c r="AE104" s="27">
        <f t="shared" si="84"/>
        <v>14609.683252984389</v>
      </c>
      <c r="AF104" s="15">
        <f t="shared" si="85"/>
        <v>386</v>
      </c>
      <c r="AG104">
        <f t="shared" si="86"/>
        <v>20754.645374196509</v>
      </c>
      <c r="AH104" s="15">
        <f t="shared" si="87"/>
        <v>451</v>
      </c>
      <c r="AI104">
        <f t="shared" si="88"/>
        <v>18296.660525711661</v>
      </c>
      <c r="AJ104" s="15">
        <f t="shared" si="89"/>
        <v>425</v>
      </c>
    </row>
    <row r="105" spans="1:36" x14ac:dyDescent="0.25">
      <c r="A105" s="15"/>
      <c r="B105" s="15">
        <v>8</v>
      </c>
      <c r="C105" s="15">
        <v>216</v>
      </c>
      <c r="D105" s="15">
        <v>231.46212121212122</v>
      </c>
      <c r="E105" s="15">
        <v>224.75</v>
      </c>
      <c r="F105" s="15">
        <f>(C105-C134)^2</f>
        <v>239.07719237832893</v>
      </c>
      <c r="G105">
        <f t="shared" si="91"/>
        <v>-1461.7561409550051</v>
      </c>
      <c r="H105" s="15">
        <f t="shared" si="92"/>
        <v>326</v>
      </c>
      <c r="I105">
        <f t="shared" si="90"/>
        <v>14372.181818181816</v>
      </c>
      <c r="J105" s="15">
        <f t="shared" si="93"/>
        <v>298</v>
      </c>
      <c r="K105">
        <f t="shared" si="94"/>
        <v>270.00143480257134</v>
      </c>
      <c r="L105" s="15">
        <f t="shared" si="95"/>
        <v>214</v>
      </c>
      <c r="M105">
        <f t="shared" si="96"/>
        <v>873.02416207529882</v>
      </c>
      <c r="N105" s="15">
        <f t="shared" si="97"/>
        <v>175</v>
      </c>
      <c r="O105">
        <f t="shared" si="98"/>
        <v>1908.9862832874205</v>
      </c>
      <c r="P105" s="15">
        <f t="shared" si="99"/>
        <v>108</v>
      </c>
      <c r="Q105">
        <f t="shared" si="100"/>
        <v>641.09234389348057</v>
      </c>
      <c r="R105" s="15">
        <f t="shared" si="101"/>
        <v>190</v>
      </c>
      <c r="S105">
        <f t="shared" ref="S105:S133" si="102">(C105-$C$134)*(T105-$C$134)</f>
        <v>-1956.5440197428841</v>
      </c>
      <c r="T105" s="15">
        <f t="shared" ref="T105:T133" si="103">R104</f>
        <v>358</v>
      </c>
      <c r="U105">
        <f t="shared" si="74"/>
        <v>1785.2893135904508</v>
      </c>
      <c r="V105" s="15">
        <f t="shared" si="75"/>
        <v>116</v>
      </c>
      <c r="W105">
        <f t="shared" si="76"/>
        <v>-348.48341368227739</v>
      </c>
      <c r="X105" s="15">
        <f t="shared" si="77"/>
        <v>254</v>
      </c>
      <c r="Y105">
        <f t="shared" si="78"/>
        <v>1707.9787075298445</v>
      </c>
      <c r="Z105" s="15">
        <f t="shared" si="79"/>
        <v>121</v>
      </c>
      <c r="AA105">
        <f t="shared" si="80"/>
        <v>2573.857495408633</v>
      </c>
      <c r="AB105" s="15">
        <f t="shared" si="81"/>
        <v>65</v>
      </c>
      <c r="AC105">
        <f t="shared" si="82"/>
        <v>-9223.740989439857</v>
      </c>
      <c r="AD105" s="15">
        <f t="shared" si="83"/>
        <v>828</v>
      </c>
      <c r="AE105" s="27">
        <f t="shared" si="84"/>
        <v>-4847.9606864095513</v>
      </c>
      <c r="AF105" s="15">
        <f t="shared" si="85"/>
        <v>545</v>
      </c>
      <c r="AG105">
        <f t="shared" si="86"/>
        <v>-2389.4834136822783</v>
      </c>
      <c r="AH105" s="15">
        <f t="shared" si="87"/>
        <v>386</v>
      </c>
      <c r="AI105">
        <f t="shared" si="88"/>
        <v>-3394.5212924701573</v>
      </c>
      <c r="AJ105" s="15">
        <f t="shared" si="89"/>
        <v>451</v>
      </c>
    </row>
    <row r="106" spans="1:36" x14ac:dyDescent="0.25">
      <c r="A106" s="15"/>
      <c r="B106" s="15">
        <v>9</v>
      </c>
      <c r="C106" s="15">
        <v>165</v>
      </c>
      <c r="D106" s="15">
        <v>231.46212121212122</v>
      </c>
      <c r="E106" s="15">
        <v>224.75</v>
      </c>
      <c r="F106" s="15">
        <f>(C106-C134)^2</f>
        <v>4417.2135560146935</v>
      </c>
      <c r="G106">
        <f t="shared" si="91"/>
        <v>1027.6453741965111</v>
      </c>
      <c r="H106" s="15">
        <f t="shared" si="92"/>
        <v>216</v>
      </c>
      <c r="I106">
        <f t="shared" si="90"/>
        <v>15598.749999999998</v>
      </c>
      <c r="J106" s="15">
        <f t="shared" si="93"/>
        <v>326</v>
      </c>
      <c r="K106">
        <f t="shared" si="94"/>
        <v>-4422.2485651974284</v>
      </c>
      <c r="L106" s="15">
        <f t="shared" si="95"/>
        <v>298</v>
      </c>
      <c r="M106">
        <f t="shared" si="96"/>
        <v>1160.5696166207535</v>
      </c>
      <c r="N106" s="15">
        <f t="shared" si="97"/>
        <v>214</v>
      </c>
      <c r="O106">
        <f t="shared" si="98"/>
        <v>3752.592343893481</v>
      </c>
      <c r="P106" s="15">
        <f t="shared" si="99"/>
        <v>175</v>
      </c>
      <c r="Q106">
        <f t="shared" si="100"/>
        <v>8205.5544651056025</v>
      </c>
      <c r="R106" s="15">
        <f t="shared" si="101"/>
        <v>108</v>
      </c>
      <c r="S106">
        <f t="shared" si="102"/>
        <v>2755.6605257116626</v>
      </c>
      <c r="T106" s="15">
        <f t="shared" si="103"/>
        <v>190</v>
      </c>
      <c r="U106">
        <f t="shared" ref="U106:U133" si="104">(C106-$C$134)*(V106-$C$134)</f>
        <v>-8409.9758379247014</v>
      </c>
      <c r="V106" s="15">
        <f t="shared" ref="V106:V133" si="105">T105</f>
        <v>358</v>
      </c>
      <c r="W106">
        <f t="shared" si="76"/>
        <v>7673.8574954086325</v>
      </c>
      <c r="X106" s="15">
        <f t="shared" si="77"/>
        <v>116</v>
      </c>
      <c r="Y106">
        <f t="shared" si="78"/>
        <v>-1497.9152318640952</v>
      </c>
      <c r="Z106" s="15">
        <f t="shared" si="79"/>
        <v>254</v>
      </c>
      <c r="AA106">
        <f t="shared" si="80"/>
        <v>7341.5468893480265</v>
      </c>
      <c r="AB106" s="15">
        <f t="shared" si="81"/>
        <v>121</v>
      </c>
      <c r="AC106">
        <f t="shared" si="82"/>
        <v>11063.425677226815</v>
      </c>
      <c r="AD106" s="15">
        <f t="shared" si="83"/>
        <v>65</v>
      </c>
      <c r="AE106" s="27">
        <f t="shared" si="84"/>
        <v>-39647.172807621675</v>
      </c>
      <c r="AF106" s="15">
        <f t="shared" si="85"/>
        <v>828</v>
      </c>
      <c r="AG106">
        <f t="shared" si="86"/>
        <v>-20838.392504591367</v>
      </c>
      <c r="AH106" s="15">
        <f t="shared" si="87"/>
        <v>545</v>
      </c>
      <c r="AI106">
        <f t="shared" si="88"/>
        <v>-10270.915231864095</v>
      </c>
      <c r="AJ106" s="15">
        <f t="shared" si="89"/>
        <v>386</v>
      </c>
    </row>
    <row r="107" spans="1:36" x14ac:dyDescent="0.25">
      <c r="A107" s="15"/>
      <c r="B107" s="15">
        <v>10</v>
      </c>
      <c r="C107" s="15">
        <v>229</v>
      </c>
      <c r="D107" s="15">
        <v>231.46212121212122</v>
      </c>
      <c r="E107" s="15">
        <v>224.75</v>
      </c>
      <c r="F107" s="15">
        <f>(C107-C134)^2</f>
        <v>6.0620408631772564</v>
      </c>
      <c r="G107">
        <f t="shared" si="91"/>
        <v>163.63779843893522</v>
      </c>
      <c r="H107" s="15">
        <f t="shared" si="92"/>
        <v>165</v>
      </c>
      <c r="I107">
        <f t="shared" si="90"/>
        <v>-3540.8257575757589</v>
      </c>
      <c r="J107" s="15">
        <f t="shared" si="93"/>
        <v>216</v>
      </c>
      <c r="K107">
        <f t="shared" si="94"/>
        <v>-232.7637167125809</v>
      </c>
      <c r="L107" s="15">
        <f t="shared" si="95"/>
        <v>326</v>
      </c>
      <c r="M107">
        <f t="shared" si="96"/>
        <v>-163.82432277318679</v>
      </c>
      <c r="N107" s="15">
        <f t="shared" si="97"/>
        <v>298</v>
      </c>
      <c r="O107">
        <f t="shared" si="98"/>
        <v>42.993859044995531</v>
      </c>
      <c r="P107" s="15">
        <f t="shared" si="99"/>
        <v>214</v>
      </c>
      <c r="Q107">
        <f t="shared" si="100"/>
        <v>139.01658631772304</v>
      </c>
      <c r="R107" s="15">
        <f t="shared" si="101"/>
        <v>175</v>
      </c>
      <c r="S107">
        <f t="shared" si="102"/>
        <v>303.97870752984466</v>
      </c>
      <c r="T107" s="15">
        <f t="shared" si="103"/>
        <v>108</v>
      </c>
      <c r="U107">
        <f t="shared" si="104"/>
        <v>102.08476813590477</v>
      </c>
      <c r="V107" s="15">
        <f t="shared" si="105"/>
        <v>190</v>
      </c>
      <c r="W107">
        <f t="shared" ref="W107:W133" si="106">(C107-$C$134)*(X107-$C$134)</f>
        <v>-311.55159550045988</v>
      </c>
      <c r="X107" s="15">
        <f t="shared" ref="X107:X133" si="107">V106</f>
        <v>358</v>
      </c>
      <c r="Y107">
        <f t="shared" si="78"/>
        <v>284.28173783287491</v>
      </c>
      <c r="Z107" s="15">
        <f t="shared" si="79"/>
        <v>116</v>
      </c>
      <c r="AA107">
        <f t="shared" si="80"/>
        <v>-55.490989439853195</v>
      </c>
      <c r="AB107" s="15">
        <f t="shared" si="81"/>
        <v>254</v>
      </c>
      <c r="AC107">
        <f t="shared" si="82"/>
        <v>271.97113177226879</v>
      </c>
      <c r="AD107" s="15">
        <f t="shared" si="83"/>
        <v>121</v>
      </c>
      <c r="AE107" s="27">
        <f t="shared" si="84"/>
        <v>409.84991965105701</v>
      </c>
      <c r="AF107" s="15">
        <f t="shared" si="85"/>
        <v>65</v>
      </c>
      <c r="AG107">
        <f t="shared" si="86"/>
        <v>-1468.7485651974323</v>
      </c>
      <c r="AH107" s="15">
        <f t="shared" si="87"/>
        <v>828</v>
      </c>
      <c r="AI107">
        <f t="shared" si="88"/>
        <v>-771.96826216712759</v>
      </c>
      <c r="AJ107" s="15">
        <f t="shared" si="89"/>
        <v>545</v>
      </c>
    </row>
    <row r="108" spans="1:36" x14ac:dyDescent="0.25">
      <c r="A108" s="15"/>
      <c r="B108" s="15">
        <v>11</v>
      </c>
      <c r="C108" s="15">
        <v>263</v>
      </c>
      <c r="D108" s="15">
        <v>231.46212121212122</v>
      </c>
      <c r="E108" s="15">
        <v>224.75</v>
      </c>
      <c r="F108" s="15">
        <f>(C108-C134)^2</f>
        <v>994.6377984389344</v>
      </c>
      <c r="G108">
        <f t="shared" si="91"/>
        <v>-77.650080348944158</v>
      </c>
      <c r="H108" s="15">
        <f t="shared" si="92"/>
        <v>229</v>
      </c>
      <c r="I108">
        <f t="shared" si="90"/>
        <v>-17479.53787878788</v>
      </c>
      <c r="J108" s="15">
        <f t="shared" si="93"/>
        <v>165</v>
      </c>
      <c r="K108">
        <f t="shared" si="94"/>
        <v>-487.64250459136832</v>
      </c>
      <c r="L108" s="15">
        <f t="shared" si="95"/>
        <v>216</v>
      </c>
      <c r="M108">
        <f t="shared" si="96"/>
        <v>2981.5241620752977</v>
      </c>
      <c r="N108" s="15">
        <f t="shared" si="97"/>
        <v>326</v>
      </c>
      <c r="O108">
        <f t="shared" si="98"/>
        <v>2098.4635560146917</v>
      </c>
      <c r="P108" s="15">
        <f t="shared" si="99"/>
        <v>298</v>
      </c>
      <c r="Q108">
        <f t="shared" si="100"/>
        <v>-550.71826216712589</v>
      </c>
      <c r="R108" s="15">
        <f t="shared" si="101"/>
        <v>214</v>
      </c>
      <c r="S108">
        <f t="shared" si="102"/>
        <v>-1780.6955348943984</v>
      </c>
      <c r="T108" s="15">
        <f t="shared" si="103"/>
        <v>175</v>
      </c>
      <c r="U108">
        <f t="shared" si="104"/>
        <v>-3893.7334136822769</v>
      </c>
      <c r="V108" s="15">
        <f t="shared" si="105"/>
        <v>108</v>
      </c>
      <c r="W108">
        <f t="shared" si="106"/>
        <v>-1307.6273530762167</v>
      </c>
      <c r="X108" s="15">
        <f t="shared" si="107"/>
        <v>190</v>
      </c>
      <c r="Y108">
        <f t="shared" ref="Y108:Y133" si="108">(C108-$C$134)*(Z108-$C$134)</f>
        <v>3990.7362832874187</v>
      </c>
      <c r="Z108" s="15">
        <f t="shared" ref="Z108:Z133" si="109">X107</f>
        <v>358</v>
      </c>
      <c r="AA108">
        <f t="shared" si="80"/>
        <v>-3641.4303833792465</v>
      </c>
      <c r="AB108" s="15">
        <f t="shared" si="81"/>
        <v>116</v>
      </c>
      <c r="AC108">
        <f t="shared" si="82"/>
        <v>710.79688934802539</v>
      </c>
      <c r="AD108" s="15">
        <f t="shared" si="83"/>
        <v>254</v>
      </c>
      <c r="AE108" s="27">
        <f t="shared" si="84"/>
        <v>-3483.7409894398525</v>
      </c>
      <c r="AF108" s="15">
        <f t="shared" si="85"/>
        <v>121</v>
      </c>
      <c r="AG108">
        <f t="shared" si="86"/>
        <v>-5249.8622015610645</v>
      </c>
      <c r="AH108" s="15">
        <f t="shared" si="87"/>
        <v>65</v>
      </c>
      <c r="AI108">
        <f t="shared" si="88"/>
        <v>18813.539313590445</v>
      </c>
      <c r="AJ108" s="15">
        <f t="shared" si="89"/>
        <v>828</v>
      </c>
    </row>
    <row r="109" spans="1:36" x14ac:dyDescent="0.25">
      <c r="A109" s="15">
        <v>2020</v>
      </c>
      <c r="B109" s="15">
        <v>12</v>
      </c>
      <c r="C109" s="15">
        <v>155</v>
      </c>
      <c r="D109" s="15">
        <v>231.46212121212122</v>
      </c>
      <c r="E109" s="15">
        <f>SUM(C98:C109)/COUNT(C98:C109)</f>
        <v>224.75</v>
      </c>
      <c r="F109" s="15">
        <f>(C109-C134)^2</f>
        <v>5846.4559802571175</v>
      </c>
      <c r="G109">
        <f t="shared" si="91"/>
        <v>-2411.4531106519739</v>
      </c>
      <c r="H109" s="15">
        <f t="shared" si="92"/>
        <v>263</v>
      </c>
      <c r="I109">
        <f t="shared" si="90"/>
        <v>-381.62878787878878</v>
      </c>
      <c r="J109" s="15">
        <f t="shared" si="93"/>
        <v>229</v>
      </c>
      <c r="K109">
        <f t="shared" si="94"/>
        <v>5081.8347681359055</v>
      </c>
      <c r="L109" s="15">
        <f t="shared" si="95"/>
        <v>165</v>
      </c>
      <c r="M109">
        <f t="shared" si="96"/>
        <v>1182.2665863177233</v>
      </c>
      <c r="N109" s="15">
        <f t="shared" si="97"/>
        <v>216</v>
      </c>
      <c r="O109">
        <f t="shared" si="98"/>
        <v>-7228.5667470156104</v>
      </c>
      <c r="P109" s="15">
        <f t="shared" si="99"/>
        <v>326</v>
      </c>
      <c r="Q109">
        <f t="shared" si="100"/>
        <v>-5087.6273530762164</v>
      </c>
      <c r="R109" s="15">
        <f t="shared" si="101"/>
        <v>298</v>
      </c>
      <c r="S109">
        <f t="shared" si="102"/>
        <v>1335.1908287419656</v>
      </c>
      <c r="T109" s="15">
        <f t="shared" si="103"/>
        <v>214</v>
      </c>
      <c r="U109">
        <f t="shared" si="104"/>
        <v>4317.2135560146935</v>
      </c>
      <c r="V109" s="15">
        <f t="shared" si="105"/>
        <v>175</v>
      </c>
      <c r="W109">
        <f t="shared" si="106"/>
        <v>9440.1756772268145</v>
      </c>
      <c r="X109" s="15">
        <f t="shared" si="107"/>
        <v>108</v>
      </c>
      <c r="Y109">
        <f t="shared" si="108"/>
        <v>3170.281737832875</v>
      </c>
      <c r="Z109" s="15">
        <f t="shared" si="109"/>
        <v>190</v>
      </c>
      <c r="AA109">
        <f t="shared" ref="AA109:AA133" si="110">(C109-$C$134)*(AB109-$C$134)</f>
        <v>-9675.3546258034894</v>
      </c>
      <c r="AB109" s="15">
        <f t="shared" ref="AB109:AB133" si="111">Z108</f>
        <v>358</v>
      </c>
      <c r="AC109">
        <f t="shared" si="82"/>
        <v>8828.4787075298445</v>
      </c>
      <c r="AD109" s="15">
        <f t="shared" si="83"/>
        <v>116</v>
      </c>
      <c r="AE109" s="27">
        <f t="shared" si="84"/>
        <v>-1723.2940197428832</v>
      </c>
      <c r="AF109" s="15">
        <f t="shared" si="85"/>
        <v>254</v>
      </c>
      <c r="AG109">
        <f t="shared" si="86"/>
        <v>8446.1681014692385</v>
      </c>
      <c r="AH109" s="15">
        <f t="shared" si="87"/>
        <v>121</v>
      </c>
      <c r="AI109">
        <f t="shared" si="88"/>
        <v>12728.046889348027</v>
      </c>
      <c r="AJ109" s="15">
        <f t="shared" si="89"/>
        <v>65</v>
      </c>
    </row>
    <row r="110" spans="1:36" x14ac:dyDescent="0.25">
      <c r="A110" s="15"/>
      <c r="B110" s="15">
        <v>1</v>
      </c>
      <c r="C110" s="15">
        <v>235</v>
      </c>
      <c r="D110" s="15">
        <v>231.46212121212122</v>
      </c>
      <c r="E110" s="15">
        <v>295.41666666666669</v>
      </c>
      <c r="F110" s="15">
        <f>(C110-C134)^2</f>
        <v>12.51658631772264</v>
      </c>
      <c r="G110">
        <f t="shared" si="91"/>
        <v>-270.51371671257994</v>
      </c>
      <c r="H110" s="15">
        <f t="shared" si="92"/>
        <v>155</v>
      </c>
      <c r="I110">
        <f t="shared" si="90"/>
        <v>7411.4015151515141</v>
      </c>
      <c r="J110" s="15">
        <f t="shared" si="93"/>
        <v>263</v>
      </c>
      <c r="K110">
        <f t="shared" si="94"/>
        <v>-8.7106864095500516</v>
      </c>
      <c r="L110" s="15">
        <f t="shared" si="95"/>
        <v>229</v>
      </c>
      <c r="M110">
        <f t="shared" si="96"/>
        <v>-235.13492883379209</v>
      </c>
      <c r="N110" s="15">
        <f t="shared" si="97"/>
        <v>165</v>
      </c>
      <c r="O110">
        <f t="shared" si="98"/>
        <v>-54.703110651974214</v>
      </c>
      <c r="P110" s="15">
        <f t="shared" si="99"/>
        <v>216</v>
      </c>
      <c r="Q110">
        <f t="shared" si="100"/>
        <v>334.46355601469179</v>
      </c>
      <c r="R110" s="15">
        <f t="shared" si="101"/>
        <v>326</v>
      </c>
      <c r="S110">
        <f t="shared" si="102"/>
        <v>235.4029499540859</v>
      </c>
      <c r="T110" s="15">
        <f t="shared" si="103"/>
        <v>298</v>
      </c>
      <c r="U110">
        <f t="shared" si="104"/>
        <v>-61.778868227731778</v>
      </c>
      <c r="V110" s="15">
        <f t="shared" si="105"/>
        <v>214</v>
      </c>
      <c r="W110">
        <f t="shared" si="106"/>
        <v>-199.75614095500427</v>
      </c>
      <c r="X110" s="15">
        <f t="shared" si="107"/>
        <v>175</v>
      </c>
      <c r="Y110">
        <f t="shared" si="108"/>
        <v>-436.79401974288265</v>
      </c>
      <c r="Z110" s="15">
        <f t="shared" si="109"/>
        <v>108</v>
      </c>
      <c r="AA110">
        <f t="shared" si="110"/>
        <v>-146.68795913682254</v>
      </c>
      <c r="AB110" s="15">
        <f t="shared" si="111"/>
        <v>190</v>
      </c>
      <c r="AC110">
        <f t="shared" ref="AC110:AC133" si="112">(C110-$C$134)*(AD110-$C$134)</f>
        <v>447.67567722681281</v>
      </c>
      <c r="AD110" s="15">
        <f t="shared" ref="AD110:AD133" si="113">AB109</f>
        <v>358</v>
      </c>
      <c r="AE110" s="27">
        <f t="shared" si="84"/>
        <v>-408.4909894398524</v>
      </c>
      <c r="AF110" s="15">
        <f t="shared" si="85"/>
        <v>116</v>
      </c>
      <c r="AG110">
        <f t="shared" si="86"/>
        <v>79.736283287419496</v>
      </c>
      <c r="AH110" s="15">
        <f t="shared" si="87"/>
        <v>254</v>
      </c>
      <c r="AI110">
        <f t="shared" si="88"/>
        <v>-390.80159550045852</v>
      </c>
      <c r="AJ110" s="15">
        <f t="shared" si="89"/>
        <v>121</v>
      </c>
    </row>
    <row r="111" spans="1:36" x14ac:dyDescent="0.25">
      <c r="A111" s="15"/>
      <c r="B111" s="15">
        <v>2</v>
      </c>
      <c r="C111" s="15">
        <v>242</v>
      </c>
      <c r="D111" s="15">
        <v>231.46212121212122</v>
      </c>
      <c r="E111" s="15">
        <v>295.41666666666669</v>
      </c>
      <c r="F111" s="15">
        <f>(C111-C134)^2</f>
        <v>111.04688934802559</v>
      </c>
      <c r="G111">
        <f t="shared" si="91"/>
        <v>37.281737832874114</v>
      </c>
      <c r="H111" s="15">
        <f t="shared" si="92"/>
        <v>235</v>
      </c>
      <c r="I111">
        <f t="shared" si="90"/>
        <v>-18503.833333333336</v>
      </c>
      <c r="J111" s="15">
        <f t="shared" si="93"/>
        <v>155</v>
      </c>
      <c r="K111">
        <f t="shared" si="94"/>
        <v>332.34234389348001</v>
      </c>
      <c r="L111" s="15">
        <f t="shared" si="95"/>
        <v>263</v>
      </c>
      <c r="M111">
        <f t="shared" si="96"/>
        <v>-25.94553489439858</v>
      </c>
      <c r="N111" s="15">
        <f t="shared" si="97"/>
        <v>229</v>
      </c>
      <c r="O111">
        <f t="shared" si="98"/>
        <v>-700.36977731864067</v>
      </c>
      <c r="P111" s="15">
        <f t="shared" si="99"/>
        <v>165</v>
      </c>
      <c r="Q111">
        <f t="shared" si="100"/>
        <v>-162.93795913682274</v>
      </c>
      <c r="R111" s="15">
        <f t="shared" si="101"/>
        <v>216</v>
      </c>
      <c r="S111">
        <f t="shared" si="102"/>
        <v>996.22870752984329</v>
      </c>
      <c r="T111" s="15">
        <f t="shared" si="103"/>
        <v>326</v>
      </c>
      <c r="U111">
        <f t="shared" si="104"/>
        <v>701.1681014692374</v>
      </c>
      <c r="V111" s="15">
        <f t="shared" si="105"/>
        <v>298</v>
      </c>
      <c r="W111">
        <f t="shared" si="106"/>
        <v>-184.0137167125803</v>
      </c>
      <c r="X111" s="15">
        <f t="shared" si="107"/>
        <v>214</v>
      </c>
      <c r="Y111">
        <f t="shared" si="108"/>
        <v>-594.9909894398528</v>
      </c>
      <c r="Z111" s="15">
        <f t="shared" si="109"/>
        <v>175</v>
      </c>
      <c r="AA111">
        <f t="shared" si="110"/>
        <v>-1301.0288682277312</v>
      </c>
      <c r="AB111" s="15">
        <f t="shared" si="111"/>
        <v>108</v>
      </c>
      <c r="AC111">
        <f t="shared" si="112"/>
        <v>-436.9228076216711</v>
      </c>
      <c r="AD111" s="15">
        <f t="shared" si="113"/>
        <v>190</v>
      </c>
      <c r="AE111" s="27">
        <f t="shared" ref="AE111:AE133" si="114">(C111-$C$134)*(AF111-$C$134)</f>
        <v>1333.4408287419642</v>
      </c>
      <c r="AF111" s="15">
        <f t="shared" ref="AF111:AF133" si="115">AD110</f>
        <v>358</v>
      </c>
      <c r="AG111">
        <f t="shared" si="86"/>
        <v>-1216.725837924701</v>
      </c>
      <c r="AH111" s="15">
        <f t="shared" si="87"/>
        <v>116</v>
      </c>
      <c r="AI111">
        <f t="shared" si="88"/>
        <v>237.50143480257097</v>
      </c>
      <c r="AJ111" s="15">
        <f t="shared" si="89"/>
        <v>254</v>
      </c>
    </row>
    <row r="112" spans="1:36" x14ac:dyDescent="0.25">
      <c r="A112" s="15"/>
      <c r="B112" s="15">
        <v>3</v>
      </c>
      <c r="C112" s="15">
        <v>302</v>
      </c>
      <c r="D112" s="15">
        <v>231.46212121212122</v>
      </c>
      <c r="E112" s="15">
        <v>295.41666666666669</v>
      </c>
      <c r="F112" s="15">
        <f>(C112-C134)^2</f>
        <v>4975.5923438934797</v>
      </c>
      <c r="G112">
        <f t="shared" si="91"/>
        <v>743.31961662075253</v>
      </c>
      <c r="H112" s="15">
        <f t="shared" si="92"/>
        <v>242</v>
      </c>
      <c r="I112">
        <f t="shared" si="90"/>
        <v>1068.4393939393922</v>
      </c>
      <c r="J112" s="15">
        <f t="shared" si="93"/>
        <v>235</v>
      </c>
      <c r="K112">
        <f t="shared" si="94"/>
        <v>-5393.4758379247014</v>
      </c>
      <c r="L112" s="15">
        <f t="shared" si="95"/>
        <v>155</v>
      </c>
      <c r="M112">
        <f t="shared" si="96"/>
        <v>2224.6150711662067</v>
      </c>
      <c r="N112" s="15">
        <f t="shared" si="97"/>
        <v>263</v>
      </c>
      <c r="O112">
        <f t="shared" si="98"/>
        <v>-173.67280762167167</v>
      </c>
      <c r="P112" s="15">
        <f t="shared" si="99"/>
        <v>229</v>
      </c>
      <c r="Q112">
        <f t="shared" si="100"/>
        <v>-4688.0970500459134</v>
      </c>
      <c r="R112" s="15">
        <f t="shared" si="101"/>
        <v>165</v>
      </c>
      <c r="S112">
        <f t="shared" si="102"/>
        <v>-1090.6652318640959</v>
      </c>
      <c r="T112" s="15">
        <f t="shared" si="103"/>
        <v>216</v>
      </c>
      <c r="U112">
        <f t="shared" si="104"/>
        <v>6668.5014348025697</v>
      </c>
      <c r="V112" s="15">
        <f t="shared" si="105"/>
        <v>326</v>
      </c>
      <c r="W112">
        <f t="shared" si="106"/>
        <v>4693.4408287419647</v>
      </c>
      <c r="X112" s="15">
        <f t="shared" si="107"/>
        <v>298</v>
      </c>
      <c r="Y112">
        <f t="shared" si="108"/>
        <v>-1231.7409894398534</v>
      </c>
      <c r="Z112" s="15">
        <f t="shared" si="109"/>
        <v>214</v>
      </c>
      <c r="AA112">
        <f t="shared" si="110"/>
        <v>-3982.7182621671259</v>
      </c>
      <c r="AB112" s="15">
        <f t="shared" si="111"/>
        <v>175</v>
      </c>
      <c r="AC112">
        <f t="shared" si="112"/>
        <v>-8708.7561409550035</v>
      </c>
      <c r="AD112" s="15">
        <f t="shared" si="113"/>
        <v>108</v>
      </c>
      <c r="AE112" s="27">
        <f t="shared" si="114"/>
        <v>-2924.6500803489444</v>
      </c>
      <c r="AF112" s="15">
        <f t="shared" si="115"/>
        <v>190</v>
      </c>
      <c r="AG112">
        <f t="shared" ref="AG112:AG133" si="116">(C112-$C$134)*(AH112-$C$134)</f>
        <v>8925.7135560146908</v>
      </c>
      <c r="AH112" s="15">
        <f t="shared" ref="AH112:AH133" si="117">AF111</f>
        <v>358</v>
      </c>
      <c r="AI112">
        <f t="shared" si="88"/>
        <v>-8144.4531106519744</v>
      </c>
      <c r="AJ112" s="15">
        <f t="shared" si="89"/>
        <v>116</v>
      </c>
    </row>
    <row r="113" spans="1:36" x14ac:dyDescent="0.25">
      <c r="A113" s="15"/>
      <c r="B113" s="15">
        <v>4</v>
      </c>
      <c r="C113" s="15">
        <v>369</v>
      </c>
      <c r="D113" s="15">
        <v>231.46212121212122</v>
      </c>
      <c r="E113" s="15">
        <v>295.41666666666669</v>
      </c>
      <c r="F113" s="15">
        <f>(C113-C134)^2</f>
        <v>18916.668101469237</v>
      </c>
      <c r="G113">
        <f t="shared" si="91"/>
        <v>9701.6302226813586</v>
      </c>
      <c r="H113" s="15">
        <f t="shared" si="92"/>
        <v>302</v>
      </c>
      <c r="I113">
        <f t="shared" si="90"/>
        <v>3888.4772727272707</v>
      </c>
      <c r="J113" s="15">
        <f t="shared" si="93"/>
        <v>242</v>
      </c>
      <c r="K113">
        <f t="shared" si="94"/>
        <v>486.59234389347938</v>
      </c>
      <c r="L113" s="15">
        <f t="shared" si="95"/>
        <v>235</v>
      </c>
      <c r="M113">
        <f t="shared" si="96"/>
        <v>-10516.437959136823</v>
      </c>
      <c r="N113" s="15">
        <f t="shared" si="97"/>
        <v>155</v>
      </c>
      <c r="O113">
        <f t="shared" si="98"/>
        <v>4337.6529499540857</v>
      </c>
      <c r="P113" s="15">
        <f t="shared" si="99"/>
        <v>263</v>
      </c>
      <c r="Q113">
        <f t="shared" si="100"/>
        <v>-338.63492883379331</v>
      </c>
      <c r="R113" s="15">
        <f t="shared" si="101"/>
        <v>229</v>
      </c>
      <c r="S113">
        <f t="shared" si="102"/>
        <v>-9141.0591712580353</v>
      </c>
      <c r="T113" s="15">
        <f t="shared" si="103"/>
        <v>165</v>
      </c>
      <c r="U113">
        <f t="shared" si="104"/>
        <v>-2126.6273530762173</v>
      </c>
      <c r="V113" s="15">
        <f t="shared" si="105"/>
        <v>216</v>
      </c>
      <c r="W113">
        <f t="shared" si="106"/>
        <v>13002.539313590449</v>
      </c>
      <c r="X113" s="15">
        <f t="shared" si="107"/>
        <v>326</v>
      </c>
      <c r="Y113">
        <f t="shared" si="108"/>
        <v>9151.4787075298427</v>
      </c>
      <c r="Z113" s="15">
        <f t="shared" si="109"/>
        <v>298</v>
      </c>
      <c r="AA113">
        <f t="shared" si="110"/>
        <v>-2401.7031106519748</v>
      </c>
      <c r="AB113" s="15">
        <f t="shared" si="111"/>
        <v>214</v>
      </c>
      <c r="AC113">
        <f t="shared" si="112"/>
        <v>-7765.6803833792474</v>
      </c>
      <c r="AD113" s="15">
        <f t="shared" si="113"/>
        <v>175</v>
      </c>
      <c r="AE113" s="27">
        <f t="shared" si="114"/>
        <v>-16980.718262167127</v>
      </c>
      <c r="AF113" s="15">
        <f t="shared" si="115"/>
        <v>108</v>
      </c>
      <c r="AG113">
        <f t="shared" si="116"/>
        <v>-5702.6122015610654</v>
      </c>
      <c r="AH113" s="15">
        <f t="shared" si="117"/>
        <v>190</v>
      </c>
      <c r="AI113">
        <f t="shared" ref="AI113:AI133" si="118">(C113-$C$134)*(AJ113-$C$134)</f>
        <v>17403.751434802569</v>
      </c>
      <c r="AJ113" s="15">
        <f t="shared" ref="AJ113:AJ133" si="119">AH112</f>
        <v>358</v>
      </c>
    </row>
    <row r="114" spans="1:36" x14ac:dyDescent="0.25">
      <c r="A114" s="15"/>
      <c r="B114" s="15">
        <v>5</v>
      </c>
      <c r="C114" s="15">
        <v>326</v>
      </c>
      <c r="D114" s="15">
        <v>231.46212121212122</v>
      </c>
      <c r="E114" s="15">
        <v>295.41666666666669</v>
      </c>
      <c r="F114" s="15">
        <f>(C114-C134)^2</f>
        <v>8937.4105257116607</v>
      </c>
      <c r="G114">
        <f t="shared" si="91"/>
        <v>13002.539313590449</v>
      </c>
      <c r="H114" s="15">
        <f t="shared" si="92"/>
        <v>369</v>
      </c>
      <c r="I114">
        <f t="shared" si="90"/>
        <v>22995.348484848484</v>
      </c>
      <c r="J114" s="15">
        <f t="shared" si="93"/>
        <v>302</v>
      </c>
      <c r="K114">
        <f t="shared" si="94"/>
        <v>996.22870752984329</v>
      </c>
      <c r="L114" s="15">
        <f t="shared" si="95"/>
        <v>242</v>
      </c>
      <c r="M114">
        <f t="shared" si="96"/>
        <v>334.46355601469179</v>
      </c>
      <c r="N114" s="15">
        <f t="shared" si="97"/>
        <v>235</v>
      </c>
      <c r="O114">
        <f t="shared" si="98"/>
        <v>-7228.5667470156104</v>
      </c>
      <c r="P114" s="15">
        <f t="shared" si="99"/>
        <v>155</v>
      </c>
      <c r="Q114">
        <f t="shared" si="100"/>
        <v>2981.5241620752977</v>
      </c>
      <c r="R114" s="15">
        <f t="shared" si="101"/>
        <v>263</v>
      </c>
      <c r="S114">
        <f t="shared" si="102"/>
        <v>-232.7637167125809</v>
      </c>
      <c r="T114" s="15">
        <f t="shared" si="103"/>
        <v>229</v>
      </c>
      <c r="U114">
        <f t="shared" si="104"/>
        <v>-6283.1879591368233</v>
      </c>
      <c r="V114" s="15">
        <f t="shared" si="105"/>
        <v>165</v>
      </c>
      <c r="W114">
        <f t="shared" si="106"/>
        <v>-1461.7561409550051</v>
      </c>
      <c r="X114" s="15">
        <f t="shared" si="107"/>
        <v>216</v>
      </c>
      <c r="Y114">
        <f t="shared" si="108"/>
        <v>8937.4105257116607</v>
      </c>
      <c r="Z114" s="15">
        <f t="shared" si="109"/>
        <v>326</v>
      </c>
      <c r="AA114">
        <f t="shared" si="110"/>
        <v>6290.3499196510547</v>
      </c>
      <c r="AB114" s="15">
        <f t="shared" si="111"/>
        <v>298</v>
      </c>
      <c r="AC114">
        <f t="shared" si="112"/>
        <v>-1650.8318985307626</v>
      </c>
      <c r="AD114" s="15">
        <f t="shared" si="113"/>
        <v>214</v>
      </c>
      <c r="AE114" s="27">
        <f t="shared" si="114"/>
        <v>-5337.8091712580353</v>
      </c>
      <c r="AF114" s="15">
        <f t="shared" si="115"/>
        <v>175</v>
      </c>
      <c r="AG114">
        <f t="shared" si="116"/>
        <v>-11671.847050045913</v>
      </c>
      <c r="AH114" s="15">
        <f t="shared" si="117"/>
        <v>108</v>
      </c>
      <c r="AI114">
        <f t="shared" si="118"/>
        <v>-3919.7409894398534</v>
      </c>
      <c r="AJ114" s="15">
        <f t="shared" si="119"/>
        <v>190</v>
      </c>
    </row>
    <row r="115" spans="1:36" x14ac:dyDescent="0.25">
      <c r="A115" s="15"/>
      <c r="B115" s="15">
        <v>6</v>
      </c>
      <c r="C115" s="15">
        <v>490</v>
      </c>
      <c r="D115" s="15">
        <v>231.46212121212122</v>
      </c>
      <c r="E115" s="15">
        <v>295.41666666666669</v>
      </c>
      <c r="F115" s="15">
        <f>(C115-C134)^2</f>
        <v>66841.834768135886</v>
      </c>
      <c r="G115">
        <f t="shared" si="91"/>
        <v>24441.622646923777</v>
      </c>
      <c r="H115" s="15">
        <f t="shared" si="92"/>
        <v>326</v>
      </c>
      <c r="I115">
        <f t="shared" ref="I115:I133" si="120">(C115-$C246)*(J115-$C$134)</f>
        <v>67393.560606060608</v>
      </c>
      <c r="J115" s="15">
        <f t="shared" si="93"/>
        <v>369</v>
      </c>
      <c r="K115">
        <f t="shared" si="94"/>
        <v>18236.713556014689</v>
      </c>
      <c r="L115" s="15">
        <f t="shared" si="95"/>
        <v>302</v>
      </c>
      <c r="M115">
        <f t="shared" si="96"/>
        <v>2724.4408287419633</v>
      </c>
      <c r="N115" s="15">
        <f t="shared" si="97"/>
        <v>242</v>
      </c>
      <c r="O115">
        <f t="shared" si="98"/>
        <v>914.6756772268119</v>
      </c>
      <c r="P115" s="15">
        <f t="shared" si="99"/>
        <v>235</v>
      </c>
      <c r="Q115">
        <f t="shared" si="100"/>
        <v>-19768.354625803488</v>
      </c>
      <c r="R115" s="15">
        <f t="shared" si="101"/>
        <v>155</v>
      </c>
      <c r="S115">
        <f t="shared" si="102"/>
        <v>8153.7362832874169</v>
      </c>
      <c r="T115" s="15">
        <f t="shared" si="103"/>
        <v>263</v>
      </c>
      <c r="U115">
        <f t="shared" si="104"/>
        <v>-636.55159550046062</v>
      </c>
      <c r="V115" s="15">
        <f t="shared" si="105"/>
        <v>229</v>
      </c>
      <c r="W115">
        <f t="shared" si="106"/>
        <v>-17182.9758379247</v>
      </c>
      <c r="X115" s="15">
        <f t="shared" si="107"/>
        <v>165</v>
      </c>
      <c r="Y115">
        <f t="shared" si="108"/>
        <v>-3997.5440197428843</v>
      </c>
      <c r="Z115" s="15">
        <f t="shared" si="109"/>
        <v>216</v>
      </c>
      <c r="AA115">
        <f t="shared" si="110"/>
        <v>24441.622646923777</v>
      </c>
      <c r="AB115" s="15">
        <f t="shared" si="111"/>
        <v>326</v>
      </c>
      <c r="AC115">
        <f t="shared" si="112"/>
        <v>17202.562040863173</v>
      </c>
      <c r="AD115" s="15">
        <f t="shared" si="113"/>
        <v>298</v>
      </c>
      <c r="AE115" s="27">
        <f t="shared" si="114"/>
        <v>-4514.6197773186423</v>
      </c>
      <c r="AF115" s="15">
        <f t="shared" si="115"/>
        <v>214</v>
      </c>
      <c r="AG115">
        <f t="shared" si="116"/>
        <v>-14597.597050045913</v>
      </c>
      <c r="AH115" s="15">
        <f t="shared" si="117"/>
        <v>175</v>
      </c>
      <c r="AI115">
        <f t="shared" si="118"/>
        <v>-31919.634928833791</v>
      </c>
      <c r="AJ115" s="15">
        <f t="shared" si="119"/>
        <v>108</v>
      </c>
    </row>
    <row r="116" spans="1:36" x14ac:dyDescent="0.25">
      <c r="A116" s="15"/>
      <c r="B116" s="15">
        <v>7</v>
      </c>
      <c r="C116" s="15">
        <v>228</v>
      </c>
      <c r="D116" s="15">
        <v>231.46212121212122</v>
      </c>
      <c r="E116" s="15">
        <v>295.41666666666669</v>
      </c>
      <c r="F116" s="15">
        <f>(C116-C134)^2</f>
        <v>11.986283287419694</v>
      </c>
      <c r="G116">
        <f t="shared" si="91"/>
        <v>-895.08947428833937</v>
      </c>
      <c r="H116" s="15">
        <f t="shared" si="92"/>
        <v>490</v>
      </c>
      <c r="I116">
        <f t="shared" si="120"/>
        <v>21554.636363636364</v>
      </c>
      <c r="J116" s="15">
        <f t="shared" si="93"/>
        <v>326</v>
      </c>
      <c r="K116">
        <f t="shared" si="94"/>
        <v>-476.17280762167206</v>
      </c>
      <c r="L116" s="15">
        <f t="shared" si="95"/>
        <v>369</v>
      </c>
      <c r="M116">
        <f t="shared" si="96"/>
        <v>-244.21068640955045</v>
      </c>
      <c r="N116" s="15">
        <f t="shared" si="97"/>
        <v>302</v>
      </c>
      <c r="O116">
        <f t="shared" si="98"/>
        <v>-36.483413682277359</v>
      </c>
      <c r="P116" s="15">
        <f t="shared" si="99"/>
        <v>242</v>
      </c>
      <c r="Q116">
        <f t="shared" si="100"/>
        <v>-12.248565197428833</v>
      </c>
      <c r="R116" s="15">
        <f t="shared" si="101"/>
        <v>235</v>
      </c>
      <c r="S116">
        <f t="shared" si="102"/>
        <v>264.72113177226862</v>
      </c>
      <c r="T116" s="15">
        <f t="shared" si="103"/>
        <v>155</v>
      </c>
      <c r="U116">
        <f t="shared" si="104"/>
        <v>-109.18795913682294</v>
      </c>
      <c r="V116" s="15">
        <f t="shared" si="105"/>
        <v>263</v>
      </c>
      <c r="W116">
        <f t="shared" si="106"/>
        <v>8.5241620752984755</v>
      </c>
      <c r="X116" s="15">
        <f t="shared" si="107"/>
        <v>229</v>
      </c>
      <c r="Y116">
        <f t="shared" si="108"/>
        <v>230.09991965105644</v>
      </c>
      <c r="Z116" s="15">
        <f t="shared" si="109"/>
        <v>165</v>
      </c>
      <c r="AA116">
        <f t="shared" si="110"/>
        <v>53.531737832874313</v>
      </c>
      <c r="AB116" s="15">
        <f t="shared" si="111"/>
        <v>216</v>
      </c>
      <c r="AC116">
        <f t="shared" si="112"/>
        <v>-327.30159550045971</v>
      </c>
      <c r="AD116" s="15">
        <f t="shared" si="113"/>
        <v>326</v>
      </c>
      <c r="AE116" s="27">
        <f t="shared" si="114"/>
        <v>-230.36220156106558</v>
      </c>
      <c r="AF116" s="15">
        <f t="shared" si="115"/>
        <v>298</v>
      </c>
      <c r="AG116">
        <f t="shared" si="116"/>
        <v>60.455980257116749</v>
      </c>
      <c r="AH116" s="15">
        <f t="shared" si="117"/>
        <v>214</v>
      </c>
      <c r="AI116">
        <f t="shared" si="118"/>
        <v>195.47870752984426</v>
      </c>
      <c r="AJ116" s="15">
        <f t="shared" si="119"/>
        <v>175</v>
      </c>
    </row>
    <row r="117" spans="1:36" x14ac:dyDescent="0.25">
      <c r="A117" s="15"/>
      <c r="B117" s="15">
        <v>8</v>
      </c>
      <c r="C117" s="15">
        <v>257</v>
      </c>
      <c r="D117" s="15">
        <v>231.46212121212122</v>
      </c>
      <c r="E117" s="15">
        <v>295.41666666666669</v>
      </c>
      <c r="F117" s="15">
        <f>(C117-C134)^2</f>
        <v>652.18325298438901</v>
      </c>
      <c r="G117">
        <f t="shared" si="91"/>
        <v>-88.415231864095631</v>
      </c>
      <c r="H117" s="15">
        <f t="shared" si="92"/>
        <v>228</v>
      </c>
      <c r="I117">
        <f t="shared" si="120"/>
        <v>66444.234848484833</v>
      </c>
      <c r="J117" s="15">
        <f t="shared" si="93"/>
        <v>490</v>
      </c>
      <c r="K117">
        <f t="shared" si="94"/>
        <v>2414.2968893480252</v>
      </c>
      <c r="L117" s="15">
        <f t="shared" si="95"/>
        <v>326</v>
      </c>
      <c r="M117">
        <f t="shared" si="96"/>
        <v>3512.4256772268127</v>
      </c>
      <c r="N117" s="15">
        <f t="shared" si="97"/>
        <v>369</v>
      </c>
      <c r="O117">
        <f t="shared" si="98"/>
        <v>1801.3877984389342</v>
      </c>
      <c r="P117" s="15">
        <f t="shared" si="99"/>
        <v>302</v>
      </c>
      <c r="Q117">
        <f t="shared" si="100"/>
        <v>269.11507116620731</v>
      </c>
      <c r="R117" s="15">
        <f t="shared" si="101"/>
        <v>242</v>
      </c>
      <c r="S117">
        <f t="shared" si="102"/>
        <v>90.349919651055842</v>
      </c>
      <c r="T117" s="15">
        <f t="shared" si="103"/>
        <v>235</v>
      </c>
      <c r="U117">
        <f t="shared" si="104"/>
        <v>-1952.6803833792467</v>
      </c>
      <c r="V117" s="15">
        <f t="shared" si="105"/>
        <v>155</v>
      </c>
      <c r="W117">
        <f t="shared" si="106"/>
        <v>805.41052571166176</v>
      </c>
      <c r="X117" s="15">
        <f t="shared" si="107"/>
        <v>263</v>
      </c>
      <c r="Y117">
        <f t="shared" si="108"/>
        <v>-62.877353076216849</v>
      </c>
      <c r="Z117" s="15">
        <f t="shared" si="109"/>
        <v>229</v>
      </c>
      <c r="AA117">
        <f t="shared" si="110"/>
        <v>-1697.3015955004589</v>
      </c>
      <c r="AB117" s="15">
        <f t="shared" si="111"/>
        <v>165</v>
      </c>
      <c r="AC117">
        <f t="shared" si="112"/>
        <v>-394.86977731864101</v>
      </c>
      <c r="AD117" s="15">
        <f t="shared" si="113"/>
        <v>216</v>
      </c>
      <c r="AE117" s="27">
        <f t="shared" si="114"/>
        <v>2414.2968893480252</v>
      </c>
      <c r="AF117" s="15">
        <f t="shared" si="115"/>
        <v>326</v>
      </c>
      <c r="AG117">
        <f t="shared" si="116"/>
        <v>1699.2362832874192</v>
      </c>
      <c r="AH117" s="15">
        <f t="shared" si="117"/>
        <v>298</v>
      </c>
      <c r="AI117">
        <f t="shared" si="118"/>
        <v>-445.94553489439858</v>
      </c>
      <c r="AJ117" s="15">
        <f t="shared" si="119"/>
        <v>214</v>
      </c>
    </row>
    <row r="118" spans="1:36" x14ac:dyDescent="0.25">
      <c r="A118" s="15"/>
      <c r="B118" s="15">
        <v>9</v>
      </c>
      <c r="C118" s="15">
        <v>249</v>
      </c>
      <c r="D118" s="15">
        <v>231.46212121212122</v>
      </c>
      <c r="E118" s="15">
        <v>295.41666666666669</v>
      </c>
      <c r="F118" s="15">
        <f>(C118-C134)^2</f>
        <v>307.5771923783285</v>
      </c>
      <c r="G118">
        <f t="shared" si="91"/>
        <v>447.88022268135876</v>
      </c>
      <c r="H118" s="15">
        <f t="shared" si="92"/>
        <v>257</v>
      </c>
      <c r="I118">
        <f t="shared" si="120"/>
        <v>-862.06818181818335</v>
      </c>
      <c r="J118" s="15">
        <f t="shared" si="93"/>
        <v>228</v>
      </c>
      <c r="K118">
        <f t="shared" si="94"/>
        <v>4534.2059802571148</v>
      </c>
      <c r="L118" s="15">
        <f t="shared" si="95"/>
        <v>490</v>
      </c>
      <c r="M118">
        <f t="shared" si="96"/>
        <v>1657.9938590449947</v>
      </c>
      <c r="N118" s="15">
        <f t="shared" si="97"/>
        <v>326</v>
      </c>
      <c r="O118">
        <f t="shared" si="98"/>
        <v>2412.1226469237822</v>
      </c>
      <c r="P118" s="15">
        <f t="shared" si="99"/>
        <v>369</v>
      </c>
      <c r="Q118">
        <f t="shared" si="100"/>
        <v>1237.0847681359039</v>
      </c>
      <c r="R118" s="15">
        <f t="shared" si="101"/>
        <v>302</v>
      </c>
      <c r="S118">
        <f t="shared" si="102"/>
        <v>184.81204086317706</v>
      </c>
      <c r="T118" s="15">
        <f t="shared" si="103"/>
        <v>242</v>
      </c>
      <c r="U118">
        <f t="shared" si="104"/>
        <v>62.046889348025587</v>
      </c>
      <c r="V118" s="15">
        <f t="shared" si="105"/>
        <v>235</v>
      </c>
      <c r="W118">
        <f t="shared" si="106"/>
        <v>-1340.9834136822769</v>
      </c>
      <c r="X118" s="15">
        <f t="shared" si="107"/>
        <v>155</v>
      </c>
      <c r="Y118">
        <f t="shared" si="108"/>
        <v>553.10749540863151</v>
      </c>
      <c r="Z118" s="15">
        <f t="shared" si="109"/>
        <v>263</v>
      </c>
      <c r="AA118">
        <f t="shared" si="110"/>
        <v>-43.180383379247104</v>
      </c>
      <c r="AB118" s="15">
        <f t="shared" si="111"/>
        <v>229</v>
      </c>
      <c r="AC118">
        <f t="shared" si="112"/>
        <v>-1165.6046258034892</v>
      </c>
      <c r="AD118" s="15">
        <f t="shared" si="113"/>
        <v>165</v>
      </c>
      <c r="AE118" s="27">
        <f t="shared" si="114"/>
        <v>-271.17280762167127</v>
      </c>
      <c r="AF118" s="15">
        <f t="shared" si="115"/>
        <v>216</v>
      </c>
      <c r="AG118">
        <f t="shared" si="116"/>
        <v>1657.9938590449947</v>
      </c>
      <c r="AH118" s="15">
        <f t="shared" si="117"/>
        <v>326</v>
      </c>
      <c r="AI118">
        <f t="shared" si="118"/>
        <v>1166.9332529843889</v>
      </c>
      <c r="AJ118" s="15">
        <f t="shared" si="119"/>
        <v>298</v>
      </c>
    </row>
    <row r="119" spans="1:36" x14ac:dyDescent="0.25">
      <c r="A119" s="15"/>
      <c r="B119" s="15">
        <v>10</v>
      </c>
      <c r="C119" s="15">
        <v>302</v>
      </c>
      <c r="D119" s="15">
        <v>231.46212121212122</v>
      </c>
      <c r="E119" s="15">
        <v>295.41666666666669</v>
      </c>
      <c r="F119" s="15">
        <f>(C119-C134)^2</f>
        <v>4975.5923438934797</v>
      </c>
      <c r="G119">
        <f t="shared" si="91"/>
        <v>1237.0847681359039</v>
      </c>
      <c r="H119" s="15">
        <f t="shared" si="92"/>
        <v>249</v>
      </c>
      <c r="I119">
        <f t="shared" si="120"/>
        <v>7712.4393939393922</v>
      </c>
      <c r="J119" s="15">
        <f t="shared" si="93"/>
        <v>257</v>
      </c>
      <c r="K119">
        <f t="shared" si="94"/>
        <v>-244.21068640955045</v>
      </c>
      <c r="L119" s="15">
        <f t="shared" si="95"/>
        <v>228</v>
      </c>
      <c r="M119">
        <f t="shared" si="96"/>
        <v>18236.713556014689</v>
      </c>
      <c r="N119" s="15">
        <f t="shared" si="97"/>
        <v>490</v>
      </c>
      <c r="O119">
        <f t="shared" si="98"/>
        <v>6668.5014348025697</v>
      </c>
      <c r="P119" s="15">
        <f t="shared" si="99"/>
        <v>326</v>
      </c>
      <c r="Q119">
        <f t="shared" si="100"/>
        <v>9701.6302226813586</v>
      </c>
      <c r="R119" s="15">
        <f t="shared" si="101"/>
        <v>369</v>
      </c>
      <c r="S119">
        <f t="shared" si="102"/>
        <v>4975.5923438934797</v>
      </c>
      <c r="T119" s="15">
        <f t="shared" si="103"/>
        <v>302</v>
      </c>
      <c r="U119">
        <f t="shared" si="104"/>
        <v>743.31961662075253</v>
      </c>
      <c r="V119" s="15">
        <f t="shared" si="105"/>
        <v>242</v>
      </c>
      <c r="W119">
        <f t="shared" si="106"/>
        <v>249.55446510560103</v>
      </c>
      <c r="X119" s="15">
        <f t="shared" si="107"/>
        <v>235</v>
      </c>
      <c r="Y119">
        <f t="shared" si="108"/>
        <v>-5393.4758379247014</v>
      </c>
      <c r="Z119" s="15">
        <f t="shared" si="109"/>
        <v>155</v>
      </c>
      <c r="AA119">
        <f t="shared" si="110"/>
        <v>2224.6150711662067</v>
      </c>
      <c r="AB119" s="15">
        <f t="shared" si="111"/>
        <v>263</v>
      </c>
      <c r="AC119">
        <f t="shared" si="112"/>
        <v>-173.67280762167167</v>
      </c>
      <c r="AD119" s="15">
        <f t="shared" si="113"/>
        <v>229</v>
      </c>
      <c r="AE119" s="27">
        <f t="shared" si="114"/>
        <v>-4688.0970500459134</v>
      </c>
      <c r="AF119" s="15">
        <f t="shared" si="115"/>
        <v>165</v>
      </c>
      <c r="AG119">
        <f t="shared" si="116"/>
        <v>-1090.6652318640959</v>
      </c>
      <c r="AH119" s="15">
        <f t="shared" si="117"/>
        <v>216</v>
      </c>
      <c r="AI119">
        <f t="shared" si="118"/>
        <v>6668.5014348025697</v>
      </c>
      <c r="AJ119" s="15">
        <f t="shared" si="119"/>
        <v>326</v>
      </c>
    </row>
    <row r="120" spans="1:36" x14ac:dyDescent="0.25">
      <c r="A120" s="15"/>
      <c r="B120" s="15">
        <v>11</v>
      </c>
      <c r="C120" s="15">
        <v>302</v>
      </c>
      <c r="D120" s="15">
        <v>231.46212121212122</v>
      </c>
      <c r="E120" s="15">
        <v>295.41666666666669</v>
      </c>
      <c r="F120" s="15">
        <f>(C120-C134)^2</f>
        <v>4975.5923438934797</v>
      </c>
      <c r="G120">
        <f t="shared" si="91"/>
        <v>4975.5923438934797</v>
      </c>
      <c r="H120" s="15">
        <f t="shared" si="92"/>
        <v>302</v>
      </c>
      <c r="I120">
        <f t="shared" si="120"/>
        <v>5296.4393939393922</v>
      </c>
      <c r="J120" s="15">
        <f t="shared" si="93"/>
        <v>249</v>
      </c>
      <c r="K120">
        <f t="shared" si="94"/>
        <v>1801.3877984389342</v>
      </c>
      <c r="L120" s="15">
        <f t="shared" si="95"/>
        <v>257</v>
      </c>
      <c r="M120">
        <f t="shared" si="96"/>
        <v>-244.21068640955045</v>
      </c>
      <c r="N120" s="15">
        <f t="shared" si="97"/>
        <v>228</v>
      </c>
      <c r="O120">
        <f t="shared" si="98"/>
        <v>18236.713556014689</v>
      </c>
      <c r="P120" s="15">
        <f t="shared" si="99"/>
        <v>490</v>
      </c>
      <c r="Q120">
        <f t="shared" si="100"/>
        <v>6668.5014348025697</v>
      </c>
      <c r="R120" s="15">
        <f t="shared" si="101"/>
        <v>326</v>
      </c>
      <c r="S120">
        <f t="shared" si="102"/>
        <v>9701.6302226813586</v>
      </c>
      <c r="T120" s="15">
        <f t="shared" si="103"/>
        <v>369</v>
      </c>
      <c r="U120">
        <f t="shared" si="104"/>
        <v>4975.5923438934797</v>
      </c>
      <c r="V120" s="15">
        <f t="shared" si="105"/>
        <v>302</v>
      </c>
      <c r="W120">
        <f t="shared" si="106"/>
        <v>743.31961662075253</v>
      </c>
      <c r="X120" s="15">
        <f t="shared" si="107"/>
        <v>242</v>
      </c>
      <c r="Y120">
        <f t="shared" si="108"/>
        <v>249.55446510560103</v>
      </c>
      <c r="Z120" s="15">
        <f t="shared" si="109"/>
        <v>235</v>
      </c>
      <c r="AA120">
        <f t="shared" si="110"/>
        <v>-5393.4758379247014</v>
      </c>
      <c r="AB120" s="15">
        <f t="shared" si="111"/>
        <v>155</v>
      </c>
      <c r="AC120">
        <f t="shared" si="112"/>
        <v>2224.6150711662067</v>
      </c>
      <c r="AD120" s="15">
        <f t="shared" si="113"/>
        <v>263</v>
      </c>
      <c r="AE120" s="27">
        <f t="shared" si="114"/>
        <v>-173.67280762167167</v>
      </c>
      <c r="AF120" s="15">
        <f t="shared" si="115"/>
        <v>229</v>
      </c>
      <c r="AG120">
        <f t="shared" si="116"/>
        <v>-4688.0970500459134</v>
      </c>
      <c r="AH120" s="15">
        <f t="shared" si="117"/>
        <v>165</v>
      </c>
      <c r="AI120">
        <f t="shared" si="118"/>
        <v>-1090.6652318640959</v>
      </c>
      <c r="AJ120" s="15">
        <f t="shared" si="119"/>
        <v>216</v>
      </c>
    </row>
    <row r="121" spans="1:36" x14ac:dyDescent="0.25">
      <c r="A121" s="15">
        <v>2021</v>
      </c>
      <c r="B121" s="15">
        <v>12</v>
      </c>
      <c r="C121" s="15">
        <v>243</v>
      </c>
      <c r="D121" s="15">
        <v>231.46212121212122</v>
      </c>
      <c r="E121" s="15">
        <f>SUM(C110:C121)/COUNT(C110:C121)</f>
        <v>295.41666666666669</v>
      </c>
      <c r="F121" s="15">
        <f>(C121-C134)^2</f>
        <v>133.12264692378315</v>
      </c>
      <c r="G121">
        <f t="shared" si="91"/>
        <v>813.85749540863128</v>
      </c>
      <c r="H121" s="15">
        <f t="shared" si="92"/>
        <v>302</v>
      </c>
      <c r="I121">
        <f t="shared" si="120"/>
        <v>17140.704545454544</v>
      </c>
      <c r="J121" s="15">
        <f t="shared" si="93"/>
        <v>302</v>
      </c>
      <c r="K121">
        <f t="shared" si="94"/>
        <v>202.34991965105584</v>
      </c>
      <c r="L121" s="15">
        <f t="shared" si="95"/>
        <v>249</v>
      </c>
      <c r="M121">
        <f t="shared" si="96"/>
        <v>294.65294995408607</v>
      </c>
      <c r="N121" s="15">
        <f t="shared" si="97"/>
        <v>257</v>
      </c>
      <c r="O121">
        <f t="shared" si="98"/>
        <v>-39.945534894398577</v>
      </c>
      <c r="P121" s="15">
        <f t="shared" si="99"/>
        <v>228</v>
      </c>
      <c r="Q121">
        <f t="shared" si="100"/>
        <v>2982.9787075298418</v>
      </c>
      <c r="R121" s="15">
        <f t="shared" si="101"/>
        <v>490</v>
      </c>
      <c r="S121">
        <f t="shared" si="102"/>
        <v>1090.7665863177219</v>
      </c>
      <c r="T121" s="15">
        <f t="shared" si="103"/>
        <v>326</v>
      </c>
      <c r="U121">
        <f t="shared" si="104"/>
        <v>1586.8953741965097</v>
      </c>
      <c r="V121" s="15">
        <f t="shared" si="105"/>
        <v>369</v>
      </c>
      <c r="W121">
        <f t="shared" si="106"/>
        <v>813.85749540863128</v>
      </c>
      <c r="X121" s="15">
        <f t="shared" si="107"/>
        <v>302</v>
      </c>
      <c r="Y121">
        <f t="shared" si="108"/>
        <v>121.58476813590437</v>
      </c>
      <c r="Z121" s="15">
        <f t="shared" si="109"/>
        <v>242</v>
      </c>
      <c r="AA121">
        <f t="shared" si="110"/>
        <v>40.819616620752896</v>
      </c>
      <c r="AB121" s="15">
        <f t="shared" si="111"/>
        <v>235</v>
      </c>
      <c r="AC121">
        <f t="shared" si="112"/>
        <v>-882.21068640954968</v>
      </c>
      <c r="AD121" s="15">
        <f t="shared" si="113"/>
        <v>155</v>
      </c>
      <c r="AE121" s="27">
        <f t="shared" si="114"/>
        <v>363.88022268135876</v>
      </c>
      <c r="AF121" s="15">
        <f t="shared" si="115"/>
        <v>263</v>
      </c>
      <c r="AG121">
        <f t="shared" si="116"/>
        <v>-28.407656106519799</v>
      </c>
      <c r="AH121" s="15">
        <f t="shared" si="117"/>
        <v>229</v>
      </c>
      <c r="AI121">
        <f t="shared" si="118"/>
        <v>-766.8318985307618</v>
      </c>
      <c r="AJ121" s="15">
        <f t="shared" si="119"/>
        <v>165</v>
      </c>
    </row>
    <row r="122" spans="1:36" x14ac:dyDescent="0.25">
      <c r="A122" s="15"/>
      <c r="B122" s="15">
        <v>1</v>
      </c>
      <c r="C122" s="15">
        <v>233</v>
      </c>
      <c r="D122" s="15">
        <v>231.46212121212122</v>
      </c>
      <c r="E122" s="15">
        <v>262.5</v>
      </c>
      <c r="F122" s="15">
        <f>(C122-C134)^2</f>
        <v>2.3650711662075112</v>
      </c>
      <c r="G122">
        <f t="shared" si="91"/>
        <v>17.743859044995329</v>
      </c>
      <c r="H122" s="15">
        <f t="shared" si="92"/>
        <v>243</v>
      </c>
      <c r="I122">
        <f t="shared" si="120"/>
        <v>16435.325757575756</v>
      </c>
      <c r="J122" s="15">
        <f t="shared" si="93"/>
        <v>302</v>
      </c>
      <c r="K122">
        <f t="shared" si="94"/>
        <v>108.47870752984346</v>
      </c>
      <c r="L122" s="15">
        <f t="shared" si="95"/>
        <v>302</v>
      </c>
      <c r="M122">
        <f t="shared" si="96"/>
        <v>26.97113177226802</v>
      </c>
      <c r="N122" s="15">
        <f t="shared" si="97"/>
        <v>249</v>
      </c>
      <c r="O122">
        <f t="shared" si="98"/>
        <v>39.274162075298278</v>
      </c>
      <c r="P122" s="15">
        <f t="shared" si="99"/>
        <v>257</v>
      </c>
      <c r="Q122">
        <f t="shared" si="100"/>
        <v>-5.324322773186398</v>
      </c>
      <c r="R122" s="15">
        <f t="shared" si="101"/>
        <v>228</v>
      </c>
      <c r="S122">
        <f t="shared" si="102"/>
        <v>397.59991965105439</v>
      </c>
      <c r="T122" s="15">
        <f t="shared" si="103"/>
        <v>490</v>
      </c>
      <c r="U122">
        <f t="shared" si="104"/>
        <v>145.38779843893423</v>
      </c>
      <c r="V122" s="15">
        <f t="shared" si="105"/>
        <v>326</v>
      </c>
      <c r="W122">
        <f t="shared" si="106"/>
        <v>211.51658631772185</v>
      </c>
      <c r="X122" s="15">
        <f t="shared" si="107"/>
        <v>369</v>
      </c>
      <c r="Y122">
        <f t="shared" si="108"/>
        <v>108.47870752984346</v>
      </c>
      <c r="Z122" s="15">
        <f t="shared" si="109"/>
        <v>302</v>
      </c>
      <c r="AA122">
        <f t="shared" si="110"/>
        <v>16.205980257116547</v>
      </c>
      <c r="AB122" s="15">
        <f t="shared" si="111"/>
        <v>242</v>
      </c>
      <c r="AC122">
        <f t="shared" si="112"/>
        <v>5.4408287419650749</v>
      </c>
      <c r="AD122" s="15">
        <f t="shared" si="113"/>
        <v>235</v>
      </c>
      <c r="AE122" s="27">
        <f t="shared" si="114"/>
        <v>-117.58947428833747</v>
      </c>
      <c r="AF122" s="15">
        <f t="shared" si="115"/>
        <v>155</v>
      </c>
      <c r="AG122">
        <f t="shared" si="116"/>
        <v>48.501434802570969</v>
      </c>
      <c r="AH122" s="15">
        <f t="shared" si="117"/>
        <v>263</v>
      </c>
      <c r="AI122">
        <f t="shared" si="118"/>
        <v>-3.7864439853076162</v>
      </c>
      <c r="AJ122" s="15">
        <f t="shared" si="119"/>
        <v>229</v>
      </c>
    </row>
    <row r="123" spans="1:36" x14ac:dyDescent="0.25">
      <c r="A123" s="15"/>
      <c r="B123" s="15">
        <v>2</v>
      </c>
      <c r="C123" s="15">
        <v>230</v>
      </c>
      <c r="D123" s="15">
        <v>231.46212121212122</v>
      </c>
      <c r="E123" s="15">
        <v>262.5</v>
      </c>
      <c r="F123" s="15">
        <f>(C123-C134)^2</f>
        <v>2.1377984389348201</v>
      </c>
      <c r="G123">
        <f t="shared" si="91"/>
        <v>-2.2485651974288343</v>
      </c>
      <c r="H123" s="15">
        <f t="shared" si="92"/>
        <v>233</v>
      </c>
      <c r="I123">
        <f t="shared" si="120"/>
        <v>2653.7121212121197</v>
      </c>
      <c r="J123" s="15">
        <f t="shared" si="93"/>
        <v>243</v>
      </c>
      <c r="K123">
        <f t="shared" si="94"/>
        <v>-103.13492883379288</v>
      </c>
      <c r="L123" s="15">
        <f t="shared" si="95"/>
        <v>302</v>
      </c>
      <c r="M123">
        <f t="shared" si="96"/>
        <v>-103.13492883379288</v>
      </c>
      <c r="N123" s="15">
        <f t="shared" si="97"/>
        <v>302</v>
      </c>
      <c r="O123">
        <f t="shared" si="98"/>
        <v>-25.642504591368326</v>
      </c>
      <c r="P123" s="15">
        <f t="shared" si="99"/>
        <v>249</v>
      </c>
      <c r="Q123">
        <f t="shared" si="100"/>
        <v>-37.339474288338067</v>
      </c>
      <c r="R123" s="15">
        <f t="shared" si="101"/>
        <v>257</v>
      </c>
      <c r="S123">
        <f t="shared" si="102"/>
        <v>5.0620408631772564</v>
      </c>
      <c r="T123" s="15">
        <f t="shared" si="103"/>
        <v>228</v>
      </c>
      <c r="U123">
        <f t="shared" si="104"/>
        <v>-378.01371671258187</v>
      </c>
      <c r="V123" s="15">
        <f t="shared" si="105"/>
        <v>490</v>
      </c>
      <c r="W123">
        <f t="shared" si="106"/>
        <v>-138.22583792470212</v>
      </c>
      <c r="X123" s="15">
        <f t="shared" si="107"/>
        <v>326</v>
      </c>
      <c r="Y123">
        <f t="shared" si="108"/>
        <v>-201.0970500459145</v>
      </c>
      <c r="Z123" s="15">
        <f t="shared" si="109"/>
        <v>369</v>
      </c>
      <c r="AA123">
        <f t="shared" si="110"/>
        <v>-103.13492883379288</v>
      </c>
      <c r="AB123" s="15">
        <f t="shared" si="111"/>
        <v>302</v>
      </c>
      <c r="AC123">
        <f t="shared" si="112"/>
        <v>-15.407656106519797</v>
      </c>
      <c r="AD123" s="15">
        <f t="shared" si="113"/>
        <v>242</v>
      </c>
      <c r="AE123" s="27">
        <f t="shared" si="114"/>
        <v>-5.1728076216712706</v>
      </c>
      <c r="AF123" s="15">
        <f t="shared" si="115"/>
        <v>235</v>
      </c>
      <c r="AG123">
        <f t="shared" si="116"/>
        <v>111.79688934802618</v>
      </c>
      <c r="AH123" s="15">
        <f t="shared" si="117"/>
        <v>155</v>
      </c>
      <c r="AI123">
        <f t="shared" si="118"/>
        <v>-46.112201561065376</v>
      </c>
      <c r="AJ123" s="15">
        <f t="shared" si="119"/>
        <v>263</v>
      </c>
    </row>
    <row r="124" spans="1:36" x14ac:dyDescent="0.25">
      <c r="A124" s="15"/>
      <c r="B124" s="15">
        <v>3</v>
      </c>
      <c r="C124" s="15">
        <v>284</v>
      </c>
      <c r="D124" s="15">
        <v>231.46212121212122</v>
      </c>
      <c r="E124" s="15">
        <v>262.5</v>
      </c>
      <c r="F124" s="15">
        <f>(C124-C134)^2</f>
        <v>2760.2287075298432</v>
      </c>
      <c r="G124">
        <f t="shared" si="91"/>
        <v>-76.816747015610957</v>
      </c>
      <c r="H124" s="15">
        <f t="shared" si="92"/>
        <v>230</v>
      </c>
      <c r="I124">
        <f t="shared" si="120"/>
        <v>436.75757575757405</v>
      </c>
      <c r="J124" s="15">
        <f t="shared" si="93"/>
        <v>233</v>
      </c>
      <c r="K124">
        <f t="shared" si="94"/>
        <v>606.17567722681315</v>
      </c>
      <c r="L124" s="15">
        <f t="shared" si="95"/>
        <v>243</v>
      </c>
      <c r="M124">
        <f t="shared" si="96"/>
        <v>3705.9105257116612</v>
      </c>
      <c r="N124" s="15">
        <f t="shared" si="97"/>
        <v>302</v>
      </c>
      <c r="O124">
        <f t="shared" si="98"/>
        <v>3705.9105257116612</v>
      </c>
      <c r="P124" s="15">
        <f t="shared" si="99"/>
        <v>302</v>
      </c>
      <c r="Q124">
        <f t="shared" si="100"/>
        <v>921.4029499540859</v>
      </c>
      <c r="R124" s="15">
        <f t="shared" si="101"/>
        <v>249</v>
      </c>
      <c r="S124">
        <f t="shared" si="102"/>
        <v>1341.7059802571162</v>
      </c>
      <c r="T124" s="15">
        <f t="shared" si="103"/>
        <v>257</v>
      </c>
      <c r="U124">
        <f t="shared" si="104"/>
        <v>-181.89250459136852</v>
      </c>
      <c r="V124" s="15">
        <f t="shared" si="105"/>
        <v>228</v>
      </c>
      <c r="W124">
        <f t="shared" si="106"/>
        <v>13583.031737832871</v>
      </c>
      <c r="X124" s="15">
        <f t="shared" si="107"/>
        <v>490</v>
      </c>
      <c r="Y124">
        <f t="shared" si="108"/>
        <v>4966.8196166207517</v>
      </c>
      <c r="Z124" s="15">
        <f t="shared" si="109"/>
        <v>326</v>
      </c>
      <c r="AA124">
        <f t="shared" si="110"/>
        <v>7225.9484044995397</v>
      </c>
      <c r="AB124" s="15">
        <f t="shared" si="111"/>
        <v>369</v>
      </c>
      <c r="AC124">
        <f t="shared" si="112"/>
        <v>3705.9105257116612</v>
      </c>
      <c r="AD124" s="15">
        <f t="shared" si="113"/>
        <v>302</v>
      </c>
      <c r="AE124" s="27">
        <f t="shared" si="114"/>
        <v>553.6377984389344</v>
      </c>
      <c r="AF124" s="15">
        <f t="shared" si="115"/>
        <v>242</v>
      </c>
      <c r="AG124">
        <f t="shared" si="116"/>
        <v>185.87264692378295</v>
      </c>
      <c r="AH124" s="15">
        <f t="shared" si="117"/>
        <v>235</v>
      </c>
      <c r="AI124">
        <f t="shared" si="118"/>
        <v>-4017.1576561065194</v>
      </c>
      <c r="AJ124" s="15">
        <f t="shared" si="119"/>
        <v>155</v>
      </c>
    </row>
    <row r="125" spans="1:36" x14ac:dyDescent="0.25">
      <c r="A125" s="15"/>
      <c r="B125" s="15">
        <v>4</v>
      </c>
      <c r="C125" s="15">
        <v>343</v>
      </c>
      <c r="D125" s="15">
        <v>231.46212121212122</v>
      </c>
      <c r="E125" s="15">
        <v>262.5</v>
      </c>
      <c r="F125" s="15">
        <f>(C125-C134)^2</f>
        <v>12440.698404499539</v>
      </c>
      <c r="G125">
        <f t="shared" si="91"/>
        <v>5859.9635560146917</v>
      </c>
      <c r="H125" s="15">
        <f t="shared" si="92"/>
        <v>284</v>
      </c>
      <c r="I125">
        <f t="shared" si="120"/>
        <v>-501.5075757575778</v>
      </c>
      <c r="J125" s="15">
        <f t="shared" si="93"/>
        <v>230</v>
      </c>
      <c r="K125">
        <f t="shared" si="94"/>
        <v>171.53173783287352</v>
      </c>
      <c r="L125" s="15">
        <f t="shared" si="95"/>
        <v>233</v>
      </c>
      <c r="M125">
        <f t="shared" si="96"/>
        <v>1286.9105257116614</v>
      </c>
      <c r="N125" s="15">
        <f t="shared" si="97"/>
        <v>243</v>
      </c>
      <c r="O125">
        <f t="shared" si="98"/>
        <v>7867.6453741965097</v>
      </c>
      <c r="P125" s="15">
        <f t="shared" si="99"/>
        <v>302</v>
      </c>
      <c r="Q125">
        <f t="shared" si="100"/>
        <v>7867.6453741965097</v>
      </c>
      <c r="R125" s="15">
        <f t="shared" si="101"/>
        <v>302</v>
      </c>
      <c r="S125">
        <f t="shared" si="102"/>
        <v>1956.1377984389339</v>
      </c>
      <c r="T125" s="15">
        <f t="shared" si="103"/>
        <v>249</v>
      </c>
      <c r="U125">
        <f t="shared" si="104"/>
        <v>2848.4408287419642</v>
      </c>
      <c r="V125" s="15">
        <f t="shared" si="105"/>
        <v>257</v>
      </c>
      <c r="W125">
        <f t="shared" si="106"/>
        <v>-386.15765610652039</v>
      </c>
      <c r="X125" s="15">
        <f t="shared" si="107"/>
        <v>228</v>
      </c>
      <c r="Y125">
        <f t="shared" si="108"/>
        <v>28836.766586317717</v>
      </c>
      <c r="Z125" s="15">
        <f t="shared" si="109"/>
        <v>490</v>
      </c>
      <c r="AA125">
        <f t="shared" si="110"/>
        <v>10544.554465105601</v>
      </c>
      <c r="AB125" s="15">
        <f t="shared" si="111"/>
        <v>326</v>
      </c>
      <c r="AC125">
        <f t="shared" si="112"/>
        <v>15340.683252984389</v>
      </c>
      <c r="AD125" s="15">
        <f t="shared" si="113"/>
        <v>369</v>
      </c>
      <c r="AE125" s="27">
        <f t="shared" si="114"/>
        <v>7867.6453741965097</v>
      </c>
      <c r="AF125" s="15">
        <f t="shared" si="115"/>
        <v>302</v>
      </c>
      <c r="AG125">
        <f t="shared" si="116"/>
        <v>1175.3726469237824</v>
      </c>
      <c r="AH125" s="15">
        <f t="shared" si="117"/>
        <v>242</v>
      </c>
      <c r="AI125">
        <f t="shared" si="118"/>
        <v>394.60749540863105</v>
      </c>
      <c r="AJ125" s="15">
        <f t="shared" si="119"/>
        <v>235</v>
      </c>
    </row>
    <row r="126" spans="1:36" x14ac:dyDescent="0.25">
      <c r="A126" s="15"/>
      <c r="B126" s="15">
        <v>5</v>
      </c>
      <c r="C126" s="15">
        <v>359</v>
      </c>
      <c r="D126" s="15">
        <v>231.46212121212122</v>
      </c>
      <c r="E126" s="15">
        <v>262.5</v>
      </c>
      <c r="F126" s="15">
        <f>(C126-C134)^2</f>
        <v>16265.910525711661</v>
      </c>
      <c r="G126">
        <f t="shared" si="91"/>
        <v>14225.304465105601</v>
      </c>
      <c r="H126" s="15">
        <f t="shared" si="92"/>
        <v>343</v>
      </c>
      <c r="I126">
        <f t="shared" si="120"/>
        <v>18861.098484848484</v>
      </c>
      <c r="J126" s="15">
        <f t="shared" si="93"/>
        <v>284</v>
      </c>
      <c r="K126">
        <f t="shared" si="94"/>
        <v>-186.47583792470232</v>
      </c>
      <c r="L126" s="15">
        <f t="shared" si="95"/>
        <v>230</v>
      </c>
      <c r="M126">
        <f t="shared" si="96"/>
        <v>196.13779843893403</v>
      </c>
      <c r="N126" s="15">
        <f t="shared" si="97"/>
        <v>233</v>
      </c>
      <c r="O126">
        <f t="shared" si="98"/>
        <v>1471.5165863177219</v>
      </c>
      <c r="P126" s="15">
        <f t="shared" si="99"/>
        <v>243</v>
      </c>
      <c r="Q126">
        <f t="shared" si="100"/>
        <v>8996.2514348025707</v>
      </c>
      <c r="R126" s="15">
        <f t="shared" si="101"/>
        <v>302</v>
      </c>
      <c r="S126">
        <f t="shared" si="102"/>
        <v>8996.2514348025707</v>
      </c>
      <c r="T126" s="15">
        <f t="shared" si="103"/>
        <v>302</v>
      </c>
      <c r="U126">
        <f t="shared" si="104"/>
        <v>2236.7438590449947</v>
      </c>
      <c r="V126" s="15">
        <f t="shared" si="105"/>
        <v>249</v>
      </c>
      <c r="W126">
        <f t="shared" si="106"/>
        <v>3257.0468893480247</v>
      </c>
      <c r="X126" s="15">
        <f t="shared" si="107"/>
        <v>257</v>
      </c>
      <c r="Y126">
        <f t="shared" si="108"/>
        <v>-441.55159550045988</v>
      </c>
      <c r="Z126" s="15">
        <f t="shared" si="109"/>
        <v>228</v>
      </c>
      <c r="AA126">
        <f t="shared" si="110"/>
        <v>32973.372646923781</v>
      </c>
      <c r="AB126" s="15">
        <f t="shared" si="111"/>
        <v>490</v>
      </c>
      <c r="AC126">
        <f t="shared" si="112"/>
        <v>12057.160525711661</v>
      </c>
      <c r="AD126" s="15">
        <f t="shared" si="113"/>
        <v>326</v>
      </c>
      <c r="AE126" s="27">
        <f t="shared" si="114"/>
        <v>17541.289313590449</v>
      </c>
      <c r="AF126" s="15">
        <f t="shared" si="115"/>
        <v>369</v>
      </c>
      <c r="AG126">
        <f t="shared" si="116"/>
        <v>8996.2514348025707</v>
      </c>
      <c r="AH126" s="15">
        <f t="shared" si="117"/>
        <v>302</v>
      </c>
      <c r="AI126">
        <f t="shared" si="118"/>
        <v>1343.9787075298429</v>
      </c>
      <c r="AJ126" s="15">
        <f t="shared" si="119"/>
        <v>242</v>
      </c>
    </row>
    <row r="127" spans="1:36" x14ac:dyDescent="0.25">
      <c r="A127" s="15"/>
      <c r="B127" s="15">
        <v>6</v>
      </c>
      <c r="C127" s="15">
        <v>362</v>
      </c>
      <c r="D127" s="15">
        <v>231.46212121212122</v>
      </c>
      <c r="E127" s="15">
        <v>262.5</v>
      </c>
      <c r="F127" s="15">
        <f>(C127-C134)^2</f>
        <v>17040.137798438933</v>
      </c>
      <c r="G127">
        <f t="shared" si="91"/>
        <v>16648.524162075297</v>
      </c>
      <c r="H127" s="15">
        <f t="shared" si="92"/>
        <v>359</v>
      </c>
      <c r="I127">
        <f t="shared" si="120"/>
        <v>40376.71212121212</v>
      </c>
      <c r="J127" s="15">
        <f t="shared" si="93"/>
        <v>343</v>
      </c>
      <c r="K127">
        <f t="shared" si="94"/>
        <v>6858.1832529843887</v>
      </c>
      <c r="L127" s="15">
        <f t="shared" si="95"/>
        <v>284</v>
      </c>
      <c r="M127">
        <f t="shared" si="96"/>
        <v>-190.86220156106597</v>
      </c>
      <c r="N127" s="15">
        <f t="shared" si="97"/>
        <v>230</v>
      </c>
      <c r="O127">
        <f t="shared" si="98"/>
        <v>200.75143480257037</v>
      </c>
      <c r="P127" s="15">
        <f t="shared" si="99"/>
        <v>233</v>
      </c>
      <c r="Q127">
        <f t="shared" si="100"/>
        <v>1506.1302226813582</v>
      </c>
      <c r="R127" s="15">
        <f t="shared" si="101"/>
        <v>243</v>
      </c>
      <c r="S127">
        <f t="shared" si="102"/>
        <v>9207.8650711662067</v>
      </c>
      <c r="T127" s="15">
        <f t="shared" si="103"/>
        <v>302</v>
      </c>
      <c r="U127">
        <f t="shared" si="104"/>
        <v>9207.8650711662067</v>
      </c>
      <c r="V127" s="15">
        <f t="shared" si="105"/>
        <v>302</v>
      </c>
      <c r="W127">
        <f t="shared" si="106"/>
        <v>2289.3574954086307</v>
      </c>
      <c r="X127" s="15">
        <f t="shared" si="107"/>
        <v>249</v>
      </c>
      <c r="Y127">
        <f t="shared" si="108"/>
        <v>3333.6605257116612</v>
      </c>
      <c r="Z127" s="15">
        <f t="shared" si="109"/>
        <v>257</v>
      </c>
      <c r="AA127">
        <f t="shared" si="110"/>
        <v>-451.93795913682357</v>
      </c>
      <c r="AB127" s="15">
        <f t="shared" si="111"/>
        <v>228</v>
      </c>
      <c r="AC127">
        <f t="shared" si="112"/>
        <v>33748.986283287413</v>
      </c>
      <c r="AD127" s="15">
        <f t="shared" si="113"/>
        <v>490</v>
      </c>
      <c r="AE127" s="27">
        <f t="shared" si="114"/>
        <v>12340.774162075297</v>
      </c>
      <c r="AF127" s="15">
        <f t="shared" si="115"/>
        <v>326</v>
      </c>
      <c r="AG127">
        <f t="shared" si="116"/>
        <v>17953.902949954085</v>
      </c>
      <c r="AH127" s="15">
        <f t="shared" si="117"/>
        <v>369</v>
      </c>
      <c r="AI127">
        <f t="shared" si="118"/>
        <v>9207.8650711662067</v>
      </c>
      <c r="AJ127" s="15">
        <f t="shared" si="119"/>
        <v>302</v>
      </c>
    </row>
    <row r="128" spans="1:36" x14ac:dyDescent="0.25">
      <c r="A128" s="15"/>
      <c r="B128" s="15">
        <v>7</v>
      </c>
      <c r="C128" s="15">
        <v>271</v>
      </c>
      <c r="D128" s="15">
        <v>231.46212121212122</v>
      </c>
      <c r="E128" s="15">
        <v>262.5</v>
      </c>
      <c r="F128" s="15">
        <f>(C128-C134)^2</f>
        <v>1563.2438590449949</v>
      </c>
      <c r="G128">
        <f t="shared" si="91"/>
        <v>5161.1908287419637</v>
      </c>
      <c r="H128" s="15">
        <f t="shared" si="92"/>
        <v>362</v>
      </c>
      <c r="I128">
        <f t="shared" si="120"/>
        <v>34562.765151515152</v>
      </c>
      <c r="J128" s="15">
        <f t="shared" si="93"/>
        <v>359</v>
      </c>
      <c r="K128">
        <f t="shared" si="94"/>
        <v>4409.9711317722677</v>
      </c>
      <c r="L128" s="15">
        <f t="shared" si="95"/>
        <v>343</v>
      </c>
      <c r="M128">
        <f t="shared" si="96"/>
        <v>2077.2362832874192</v>
      </c>
      <c r="N128" s="15">
        <f t="shared" si="97"/>
        <v>284</v>
      </c>
      <c r="O128">
        <f t="shared" si="98"/>
        <v>-57.809171258035121</v>
      </c>
      <c r="P128" s="15">
        <f t="shared" si="99"/>
        <v>230</v>
      </c>
      <c r="Q128">
        <f t="shared" si="100"/>
        <v>60.804465105601224</v>
      </c>
      <c r="R128" s="15">
        <f t="shared" si="101"/>
        <v>233</v>
      </c>
      <c r="S128">
        <f t="shared" si="102"/>
        <v>456.18325298438901</v>
      </c>
      <c r="T128" s="15">
        <f t="shared" si="103"/>
        <v>243</v>
      </c>
      <c r="U128">
        <f t="shared" si="104"/>
        <v>2788.9181014692372</v>
      </c>
      <c r="V128" s="15">
        <f t="shared" si="105"/>
        <v>302</v>
      </c>
      <c r="W128">
        <f t="shared" si="106"/>
        <v>2788.9181014692372</v>
      </c>
      <c r="X128" s="15">
        <f t="shared" si="107"/>
        <v>302</v>
      </c>
      <c r="Y128">
        <f t="shared" si="108"/>
        <v>693.41052571166176</v>
      </c>
      <c r="Z128" s="15">
        <f t="shared" si="109"/>
        <v>249</v>
      </c>
      <c r="AA128">
        <f t="shared" si="110"/>
        <v>1009.713556014692</v>
      </c>
      <c r="AB128" s="15">
        <f t="shared" si="111"/>
        <v>257</v>
      </c>
      <c r="AC128">
        <f t="shared" si="112"/>
        <v>-136.88492883379269</v>
      </c>
      <c r="AD128" s="15">
        <f t="shared" si="113"/>
        <v>228</v>
      </c>
      <c r="AE128" s="27">
        <f t="shared" si="114"/>
        <v>10222.039313590447</v>
      </c>
      <c r="AF128" s="15">
        <f t="shared" si="115"/>
        <v>490</v>
      </c>
      <c r="AG128">
        <f t="shared" si="116"/>
        <v>3737.8271923783277</v>
      </c>
      <c r="AH128" s="15">
        <f t="shared" si="117"/>
        <v>326</v>
      </c>
      <c r="AI128">
        <f t="shared" si="118"/>
        <v>5437.9559802571157</v>
      </c>
      <c r="AJ128" s="15">
        <f t="shared" si="119"/>
        <v>369</v>
      </c>
    </row>
    <row r="129" spans="1:36" x14ac:dyDescent="0.25">
      <c r="A129" s="15"/>
      <c r="B129" s="15">
        <v>8</v>
      </c>
      <c r="C129" s="15">
        <v>153</v>
      </c>
      <c r="D129" s="15">
        <v>231.46212121212122</v>
      </c>
      <c r="E129" s="15">
        <v>262.5</v>
      </c>
      <c r="F129" s="15">
        <f>(C129-C134)^2</f>
        <v>6156.3044651056025</v>
      </c>
      <c r="G129">
        <f t="shared" si="91"/>
        <v>-3102.2258379247014</v>
      </c>
      <c r="H129" s="15">
        <f t="shared" si="92"/>
        <v>271</v>
      </c>
      <c r="I129">
        <f t="shared" si="120"/>
        <v>19972.295454545452</v>
      </c>
      <c r="J129" s="15">
        <f t="shared" si="93"/>
        <v>362</v>
      </c>
      <c r="K129">
        <f t="shared" si="94"/>
        <v>-10006.892504591369</v>
      </c>
      <c r="L129" s="15">
        <f t="shared" si="95"/>
        <v>359</v>
      </c>
      <c r="M129">
        <f t="shared" si="96"/>
        <v>-8751.4985651974293</v>
      </c>
      <c r="N129" s="15">
        <f t="shared" si="97"/>
        <v>343</v>
      </c>
      <c r="O129">
        <f t="shared" si="98"/>
        <v>-4122.2334136822774</v>
      </c>
      <c r="P129" s="15">
        <f t="shared" si="99"/>
        <v>284</v>
      </c>
      <c r="Q129">
        <f t="shared" si="100"/>
        <v>114.72113177226862</v>
      </c>
      <c r="R129" s="15">
        <f t="shared" si="101"/>
        <v>230</v>
      </c>
      <c r="S129">
        <f t="shared" si="102"/>
        <v>-120.66523186409503</v>
      </c>
      <c r="T129" s="15">
        <f t="shared" si="103"/>
        <v>233</v>
      </c>
      <c r="U129">
        <f t="shared" si="104"/>
        <v>-905.28644398530719</v>
      </c>
      <c r="V129" s="15">
        <f t="shared" si="105"/>
        <v>243</v>
      </c>
      <c r="W129">
        <f t="shared" si="106"/>
        <v>-5534.5515955004594</v>
      </c>
      <c r="X129" s="15">
        <f t="shared" si="107"/>
        <v>302</v>
      </c>
      <c r="Y129">
        <f t="shared" si="108"/>
        <v>-5534.5515955004594</v>
      </c>
      <c r="Z129" s="15">
        <f t="shared" si="109"/>
        <v>302</v>
      </c>
      <c r="AA129">
        <f t="shared" si="110"/>
        <v>-1376.0591712580344</v>
      </c>
      <c r="AB129" s="15">
        <f t="shared" si="111"/>
        <v>249</v>
      </c>
      <c r="AC129">
        <f t="shared" si="112"/>
        <v>-2003.7561409550042</v>
      </c>
      <c r="AD129" s="15">
        <f t="shared" si="113"/>
        <v>257</v>
      </c>
      <c r="AE129" s="27">
        <f t="shared" si="114"/>
        <v>271.64537419651106</v>
      </c>
      <c r="AF129" s="15">
        <f t="shared" si="115"/>
        <v>228</v>
      </c>
      <c r="AG129">
        <f t="shared" si="116"/>
        <v>-20285.430383379247</v>
      </c>
      <c r="AH129" s="15">
        <f t="shared" si="117"/>
        <v>490</v>
      </c>
      <c r="AI129">
        <f t="shared" si="118"/>
        <v>-7417.6425045913684</v>
      </c>
      <c r="AJ129" s="15">
        <f t="shared" si="119"/>
        <v>326</v>
      </c>
    </row>
    <row r="130" spans="1:36" x14ac:dyDescent="0.25">
      <c r="A130" s="15"/>
      <c r="B130" s="15">
        <v>9</v>
      </c>
      <c r="C130" s="15">
        <v>231</v>
      </c>
      <c r="D130" s="15">
        <v>231.46212121212122</v>
      </c>
      <c r="E130" s="15">
        <v>262.5</v>
      </c>
      <c r="F130" s="15">
        <f>(C130-C134)^2</f>
        <v>0.21355601469238389</v>
      </c>
      <c r="G130">
        <f t="shared" si="91"/>
        <v>36.259010560147402</v>
      </c>
      <c r="H130" s="15">
        <f t="shared" si="92"/>
        <v>153</v>
      </c>
      <c r="I130">
        <f t="shared" si="120"/>
        <v>9133.2499999999982</v>
      </c>
      <c r="J130" s="15">
        <f t="shared" si="93"/>
        <v>271</v>
      </c>
      <c r="K130">
        <f t="shared" si="94"/>
        <v>-60.324322773187191</v>
      </c>
      <c r="L130" s="15">
        <f t="shared" si="95"/>
        <v>362</v>
      </c>
      <c r="M130">
        <f t="shared" si="96"/>
        <v>-58.937959136823537</v>
      </c>
      <c r="N130" s="15">
        <f t="shared" si="97"/>
        <v>359</v>
      </c>
      <c r="O130">
        <f t="shared" si="98"/>
        <v>-51.544019742884046</v>
      </c>
      <c r="P130" s="15">
        <f t="shared" si="99"/>
        <v>343</v>
      </c>
      <c r="Q130">
        <f t="shared" si="100"/>
        <v>-24.278868227732179</v>
      </c>
      <c r="R130" s="15">
        <f t="shared" si="101"/>
        <v>284</v>
      </c>
      <c r="S130">
        <f t="shared" si="102"/>
        <v>0.67567722681360209</v>
      </c>
      <c r="T130" s="15">
        <f t="shared" si="103"/>
        <v>230</v>
      </c>
      <c r="U130">
        <f t="shared" si="104"/>
        <v>-0.71068640955005236</v>
      </c>
      <c r="V130" s="15">
        <f t="shared" si="105"/>
        <v>233</v>
      </c>
      <c r="W130">
        <f t="shared" si="106"/>
        <v>-5.331898530762234</v>
      </c>
      <c r="X130" s="15">
        <f t="shared" si="107"/>
        <v>243</v>
      </c>
      <c r="Y130">
        <f t="shared" si="108"/>
        <v>-32.597050045914102</v>
      </c>
      <c r="Z130" s="15">
        <f t="shared" si="109"/>
        <v>302</v>
      </c>
      <c r="AA130">
        <f t="shared" si="110"/>
        <v>-32.597050045914102</v>
      </c>
      <c r="AB130" s="15">
        <f t="shared" si="111"/>
        <v>302</v>
      </c>
      <c r="AC130">
        <f t="shared" si="112"/>
        <v>-8.104625803489542</v>
      </c>
      <c r="AD130" s="15">
        <f t="shared" si="113"/>
        <v>249</v>
      </c>
      <c r="AE130" s="27">
        <f t="shared" si="114"/>
        <v>-11.801595500459287</v>
      </c>
      <c r="AF130" s="15">
        <f t="shared" si="115"/>
        <v>257</v>
      </c>
      <c r="AG130">
        <f t="shared" si="116"/>
        <v>1.5999196510560383</v>
      </c>
      <c r="AH130" s="15">
        <f t="shared" si="117"/>
        <v>228</v>
      </c>
      <c r="AI130">
        <f t="shared" si="118"/>
        <v>-119.4758379247031</v>
      </c>
      <c r="AJ130" s="15">
        <f t="shared" si="119"/>
        <v>490</v>
      </c>
    </row>
    <row r="131" spans="1:36" x14ac:dyDescent="0.25">
      <c r="A131" s="15"/>
      <c r="B131" s="15">
        <v>10</v>
      </c>
      <c r="C131" s="15">
        <v>163</v>
      </c>
      <c r="D131" s="15">
        <v>231.46212121212122</v>
      </c>
      <c r="E131" s="15">
        <v>262.5</v>
      </c>
      <c r="F131" s="15">
        <f>(C131-C134)^2</f>
        <v>4687.0620408631785</v>
      </c>
      <c r="G131">
        <f t="shared" ref="G131:G133" si="121">(C131-$C$134)*(H131-$C$134)</f>
        <v>31.637798438935217</v>
      </c>
      <c r="H131" s="15">
        <f t="shared" si="92"/>
        <v>231</v>
      </c>
      <c r="I131">
        <f t="shared" si="120"/>
        <v>-12789.325757575758</v>
      </c>
      <c r="J131" s="15">
        <f t="shared" si="93"/>
        <v>153</v>
      </c>
      <c r="K131">
        <f t="shared" si="94"/>
        <v>-2706.8470500459134</v>
      </c>
      <c r="L131" s="15">
        <f t="shared" si="95"/>
        <v>271</v>
      </c>
      <c r="M131">
        <f t="shared" si="96"/>
        <v>-8936.9000803489453</v>
      </c>
      <c r="N131" s="15">
        <f t="shared" si="97"/>
        <v>362</v>
      </c>
      <c r="O131">
        <f t="shared" si="98"/>
        <v>-8731.5137167125813</v>
      </c>
      <c r="P131" s="15">
        <f t="shared" si="99"/>
        <v>359</v>
      </c>
      <c r="Q131">
        <f t="shared" si="100"/>
        <v>-7636.1197773186414</v>
      </c>
      <c r="R131" s="15">
        <f t="shared" si="101"/>
        <v>343</v>
      </c>
      <c r="S131">
        <f t="shared" si="102"/>
        <v>-3596.8546258034894</v>
      </c>
      <c r="T131" s="15">
        <f t="shared" si="103"/>
        <v>284</v>
      </c>
      <c r="U131">
        <f t="shared" si="104"/>
        <v>100.09991965105644</v>
      </c>
      <c r="V131" s="15">
        <f t="shared" si="105"/>
        <v>230</v>
      </c>
      <c r="W131">
        <f t="shared" si="106"/>
        <v>-105.28644398530722</v>
      </c>
      <c r="X131" s="15">
        <f t="shared" si="107"/>
        <v>233</v>
      </c>
      <c r="Y131">
        <f t="shared" si="108"/>
        <v>-789.90765610651943</v>
      </c>
      <c r="Z131" s="15">
        <f t="shared" si="109"/>
        <v>243</v>
      </c>
      <c r="AA131">
        <f t="shared" si="110"/>
        <v>-4829.1728076216714</v>
      </c>
      <c r="AB131" s="15">
        <f t="shared" si="111"/>
        <v>302</v>
      </c>
      <c r="AC131">
        <f t="shared" si="112"/>
        <v>-4829.1728076216714</v>
      </c>
      <c r="AD131" s="15">
        <f t="shared" si="113"/>
        <v>302</v>
      </c>
      <c r="AE131" s="27">
        <f t="shared" si="114"/>
        <v>-1200.6803833792467</v>
      </c>
      <c r="AF131" s="15">
        <f t="shared" si="115"/>
        <v>249</v>
      </c>
      <c r="AG131">
        <f t="shared" si="116"/>
        <v>-1748.3773530762164</v>
      </c>
      <c r="AH131" s="15">
        <f t="shared" si="117"/>
        <v>257</v>
      </c>
      <c r="AI131">
        <f t="shared" si="118"/>
        <v>237.02416207529888</v>
      </c>
      <c r="AJ131" s="15">
        <f t="shared" si="119"/>
        <v>228</v>
      </c>
    </row>
    <row r="132" spans="1:36" x14ac:dyDescent="0.25">
      <c r="A132" s="15"/>
      <c r="B132" s="15">
        <v>11</v>
      </c>
      <c r="C132" s="15">
        <v>272</v>
      </c>
      <c r="D132" s="15">
        <v>231.46212121212122</v>
      </c>
      <c r="E132" s="15">
        <v>262.5</v>
      </c>
      <c r="F132" s="15">
        <f>(C132-C134)^2</f>
        <v>1643.3196166207524</v>
      </c>
      <c r="G132">
        <f t="shared" si="121"/>
        <v>-2775.3091712580349</v>
      </c>
      <c r="H132" s="15">
        <f t="shared" si="92"/>
        <v>163</v>
      </c>
      <c r="I132">
        <f t="shared" si="120"/>
        <v>-125.69696969697134</v>
      </c>
      <c r="J132" s="15">
        <f t="shared" si="93"/>
        <v>231</v>
      </c>
      <c r="K132">
        <f t="shared" si="94"/>
        <v>-3180.6879591368224</v>
      </c>
      <c r="L132" s="15">
        <f t="shared" si="95"/>
        <v>153</v>
      </c>
      <c r="M132">
        <f t="shared" si="96"/>
        <v>1602.7817378328737</v>
      </c>
      <c r="N132" s="15">
        <f t="shared" si="97"/>
        <v>271</v>
      </c>
      <c r="O132">
        <f t="shared" si="98"/>
        <v>5291.7287075298427</v>
      </c>
      <c r="P132" s="15">
        <f t="shared" si="99"/>
        <v>362</v>
      </c>
      <c r="Q132">
        <f t="shared" si="100"/>
        <v>5170.1150711662067</v>
      </c>
      <c r="R132" s="15">
        <f t="shared" si="101"/>
        <v>359</v>
      </c>
      <c r="S132">
        <f t="shared" si="102"/>
        <v>4521.5090105601457</v>
      </c>
      <c r="T132" s="15">
        <f t="shared" si="103"/>
        <v>343</v>
      </c>
      <c r="U132">
        <f t="shared" si="104"/>
        <v>2129.7741620752977</v>
      </c>
      <c r="V132" s="15">
        <f t="shared" si="105"/>
        <v>284</v>
      </c>
      <c r="W132">
        <f t="shared" si="106"/>
        <v>-59.27129247015634</v>
      </c>
      <c r="X132" s="15">
        <f t="shared" si="107"/>
        <v>230</v>
      </c>
      <c r="Y132">
        <f t="shared" si="108"/>
        <v>62.342343893480006</v>
      </c>
      <c r="Z132" s="15">
        <f t="shared" si="109"/>
        <v>233</v>
      </c>
      <c r="AA132">
        <f t="shared" si="110"/>
        <v>467.72113177226782</v>
      </c>
      <c r="AB132" s="15">
        <f t="shared" si="111"/>
        <v>243</v>
      </c>
      <c r="AC132">
        <f t="shared" si="112"/>
        <v>2859.4559802571162</v>
      </c>
      <c r="AD132" s="15">
        <f t="shared" si="113"/>
        <v>302</v>
      </c>
      <c r="AE132" s="27">
        <f t="shared" si="114"/>
        <v>2859.4559802571162</v>
      </c>
      <c r="AF132" s="15">
        <f t="shared" si="115"/>
        <v>302</v>
      </c>
      <c r="AG132">
        <f t="shared" si="116"/>
        <v>710.94840449954052</v>
      </c>
      <c r="AH132" s="15">
        <f t="shared" si="117"/>
        <v>249</v>
      </c>
      <c r="AI132">
        <f t="shared" si="118"/>
        <v>1035.2514348025707</v>
      </c>
      <c r="AJ132" s="15">
        <f t="shared" si="119"/>
        <v>257</v>
      </c>
    </row>
    <row r="133" spans="1:36" x14ac:dyDescent="0.25">
      <c r="A133" s="15">
        <v>2022</v>
      </c>
      <c r="B133" s="15">
        <v>12</v>
      </c>
      <c r="C133" s="15">
        <v>249</v>
      </c>
      <c r="D133" s="15">
        <v>231.46212121212122</v>
      </c>
      <c r="E133" s="15">
        <f>SUM(C122:C133)/COUNT(C122:C133)</f>
        <v>262.5</v>
      </c>
      <c r="F133" s="15">
        <f>(C133-C134)^2</f>
        <v>307.5771923783285</v>
      </c>
      <c r="G133">
        <f t="shared" si="121"/>
        <v>710.94840449954052</v>
      </c>
      <c r="H133" s="15">
        <f t="shared" si="92"/>
        <v>272</v>
      </c>
      <c r="I133">
        <f t="shared" si="120"/>
        <v>-17047.068181818184</v>
      </c>
      <c r="J133" s="15">
        <f t="shared" si="93"/>
        <v>163</v>
      </c>
      <c r="K133">
        <f t="shared" ref="K133" si="122">(C133-$C$134)*(L133-$C$134)</f>
        <v>-8.104625803489542</v>
      </c>
      <c r="L133" s="15">
        <f t="shared" si="95"/>
        <v>231</v>
      </c>
      <c r="M133">
        <f t="shared" si="96"/>
        <v>-1376.0591712580344</v>
      </c>
      <c r="N133" s="15">
        <f t="shared" si="97"/>
        <v>153</v>
      </c>
      <c r="O133">
        <f t="shared" si="98"/>
        <v>693.41052571166176</v>
      </c>
      <c r="P133" s="15">
        <f t="shared" si="99"/>
        <v>271</v>
      </c>
      <c r="Q133">
        <f t="shared" si="100"/>
        <v>2289.3574954086307</v>
      </c>
      <c r="R133" s="15">
        <f t="shared" si="101"/>
        <v>362</v>
      </c>
      <c r="S133">
        <f t="shared" si="102"/>
        <v>2236.7438590449947</v>
      </c>
      <c r="T133" s="15">
        <f t="shared" si="103"/>
        <v>359</v>
      </c>
      <c r="U133">
        <f t="shared" si="104"/>
        <v>1956.1377984389339</v>
      </c>
      <c r="V133" s="15">
        <f t="shared" si="105"/>
        <v>343</v>
      </c>
      <c r="W133">
        <f t="shared" si="106"/>
        <v>921.4029499540859</v>
      </c>
      <c r="X133" s="15">
        <f t="shared" si="107"/>
        <v>284</v>
      </c>
      <c r="Y133">
        <f t="shared" si="108"/>
        <v>-25.642504591368326</v>
      </c>
      <c r="Z133" s="15">
        <f t="shared" si="109"/>
        <v>230</v>
      </c>
      <c r="AA133">
        <f t="shared" si="110"/>
        <v>26.97113177226802</v>
      </c>
      <c r="AB133" s="15">
        <f t="shared" si="111"/>
        <v>233</v>
      </c>
      <c r="AC133">
        <f t="shared" si="112"/>
        <v>202.34991965105584</v>
      </c>
      <c r="AD133" s="15">
        <f t="shared" si="113"/>
        <v>243</v>
      </c>
      <c r="AE133" s="27">
        <f t="shared" si="114"/>
        <v>1237.0847681359039</v>
      </c>
      <c r="AF133" s="15">
        <f t="shared" si="115"/>
        <v>302</v>
      </c>
      <c r="AG133">
        <f t="shared" si="116"/>
        <v>1237.0847681359039</v>
      </c>
      <c r="AH133" s="15">
        <f t="shared" si="117"/>
        <v>302</v>
      </c>
      <c r="AI133">
        <f t="shared" si="118"/>
        <v>307.5771923783285</v>
      </c>
      <c r="AJ133" s="15">
        <f t="shared" si="119"/>
        <v>249</v>
      </c>
    </row>
    <row r="134" spans="1:36" x14ac:dyDescent="0.25">
      <c r="A134" s="15"/>
      <c r="B134" s="19" t="s">
        <v>41</v>
      </c>
      <c r="C134" s="15">
        <f>AVERAGE(C2:C133)</f>
        <v>231.46212121212122</v>
      </c>
      <c r="D134" s="15"/>
      <c r="E134" s="15"/>
      <c r="F134" s="15"/>
      <c r="H134" s="15"/>
      <c r="J134" s="15"/>
      <c r="L134" s="15"/>
      <c r="N134" s="15"/>
      <c r="P134" s="15"/>
      <c r="R134" s="15"/>
      <c r="T134" s="15"/>
      <c r="V134" s="15"/>
      <c r="X134" s="15"/>
      <c r="Z134" s="15"/>
      <c r="AB134" s="15"/>
      <c r="AD134" s="15"/>
    </row>
    <row r="135" spans="1:36" x14ac:dyDescent="0.25">
      <c r="A135" s="15"/>
      <c r="B135" s="19" t="s">
        <v>42</v>
      </c>
      <c r="C135" s="15"/>
      <c r="D135" s="15"/>
      <c r="E135" s="15"/>
      <c r="F135" s="19">
        <f>SUM(F2:F133)</f>
        <v>1438866.8106060601</v>
      </c>
      <c r="G135">
        <f>SUM(G3:G33)</f>
        <v>137973.67326675847</v>
      </c>
      <c r="H135" s="19"/>
      <c r="I135">
        <f>SUM(I4:I133)</f>
        <v>299973.50901056</v>
      </c>
      <c r="J135" s="19"/>
      <c r="K135">
        <f>SUM(K5:K133)</f>
        <v>299180.21539256192</v>
      </c>
      <c r="L135" s="19"/>
      <c r="M135">
        <f>SUM(M6:M133)</f>
        <v>5238.1230486683653</v>
      </c>
      <c r="N135" s="19"/>
      <c r="O135">
        <f>SUM(O7:O133)</f>
        <v>35769.371613865958</v>
      </c>
      <c r="P135" s="19"/>
      <c r="Q135">
        <f>SUM(Q8:Q133)</f>
        <v>89931.453512396722</v>
      </c>
      <c r="R135" s="19"/>
      <c r="S135">
        <f>SUM(S9:S133)</f>
        <v>8730.9899563819909</v>
      </c>
      <c r="T135" s="19"/>
      <c r="U135">
        <f>SUM(U10:U133)</f>
        <v>-150380.75390266295</v>
      </c>
      <c r="V135" s="19"/>
      <c r="W135">
        <f>SUM(W11:W133)</f>
        <v>36676.418904958693</v>
      </c>
      <c r="X135" s="15"/>
      <c r="Y135">
        <f>SUM(Y12:Y133)</f>
        <v>133186.79625803488</v>
      </c>
      <c r="Z135" s="15"/>
      <c r="AA135">
        <f>SUM(AA13:AA133)</f>
        <v>221075.44633838377</v>
      </c>
      <c r="AB135" s="15"/>
      <c r="AC135">
        <f>SUM(AC14:AC133)</f>
        <v>542561.83126721752</v>
      </c>
      <c r="AD135" s="15"/>
      <c r="AE135">
        <f>SUM(AE15:AE133)</f>
        <v>226801.13286271805</v>
      </c>
      <c r="AG135">
        <f>SUM(AG16:AG133)</f>
        <v>142122.04051882468</v>
      </c>
      <c r="AI135">
        <f>SUM(AI17:AI133)</f>
        <v>115794.34969008267</v>
      </c>
    </row>
    <row r="136" spans="1:36" x14ac:dyDescent="0.25">
      <c r="A136" s="15"/>
      <c r="B136" s="19" t="s">
        <v>51</v>
      </c>
      <c r="C136" s="19"/>
      <c r="D136" s="19"/>
      <c r="E136" s="19"/>
      <c r="F136" s="19"/>
      <c r="G136">
        <f>G135/F135</f>
        <v>9.58905106780822E-2</v>
      </c>
      <c r="H136" s="15"/>
      <c r="I136">
        <f>I135/F135</f>
        <v>0.20847899666558381</v>
      </c>
      <c r="J136" s="15"/>
      <c r="K136">
        <f>K135/F135</f>
        <v>0.20792766445599317</v>
      </c>
      <c r="L136" s="15"/>
      <c r="M136">
        <f>M135/F135</f>
        <v>3.6404502557551063E-3</v>
      </c>
      <c r="N136" s="15"/>
      <c r="O136">
        <f>O135/F135</f>
        <v>2.4859404185436501E-2</v>
      </c>
      <c r="P136" s="15"/>
      <c r="Q136">
        <f>Q135/F135</f>
        <v>6.2501583085731893E-2</v>
      </c>
      <c r="R136" s="15"/>
      <c r="S136">
        <f>S135/F135</f>
        <v>6.0679625744542963E-3</v>
      </c>
      <c r="T136" s="15"/>
      <c r="U136">
        <f>U135/F135</f>
        <v>-0.10451332450939055</v>
      </c>
      <c r="V136" s="19"/>
      <c r="W136">
        <f>W135/F135</f>
        <v>2.5489794214872706E-2</v>
      </c>
      <c r="X136" s="15"/>
      <c r="Y136">
        <f>Y135/F135</f>
        <v>9.2563672520833071E-2</v>
      </c>
      <c r="Z136" s="15"/>
      <c r="AA136">
        <f>AA135/F135</f>
        <v>0.15364552487333094</v>
      </c>
      <c r="AB136" s="15"/>
      <c r="AC136">
        <f>AC135/F135</f>
        <v>0.37707578440751366</v>
      </c>
      <c r="AD136" s="15"/>
      <c r="AE136">
        <f>AE135/F135</f>
        <v>0.15762482753159615</v>
      </c>
      <c r="AG136">
        <f>AG135/F135</f>
        <v>9.8773590071871878E-2</v>
      </c>
      <c r="AI136">
        <f>AI135/F135</f>
        <v>8.0476072445725078E-2</v>
      </c>
    </row>
    <row r="137" spans="1:36" x14ac:dyDescent="0.25">
      <c r="A137" s="15"/>
      <c r="B137" s="15"/>
      <c r="C137" s="15"/>
      <c r="D137" s="15"/>
      <c r="E137" s="15"/>
      <c r="F137" s="15"/>
      <c r="G137" s="21" t="s">
        <v>52</v>
      </c>
      <c r="H137" s="15"/>
      <c r="I137" s="21" t="s">
        <v>58</v>
      </c>
      <c r="J137" s="15"/>
      <c r="K137" s="21" t="s">
        <v>57</v>
      </c>
      <c r="L137" s="15"/>
      <c r="M137" s="21" t="s">
        <v>56</v>
      </c>
      <c r="N137" s="15"/>
      <c r="O137" s="21" t="s">
        <v>55</v>
      </c>
      <c r="P137" s="15"/>
      <c r="Q137" s="21" t="s">
        <v>54</v>
      </c>
      <c r="R137" s="15"/>
      <c r="S137" s="21" t="s">
        <v>53</v>
      </c>
      <c r="T137" s="15"/>
      <c r="U137" s="28" t="s">
        <v>76</v>
      </c>
      <c r="V137" s="15"/>
      <c r="W137" s="28" t="s">
        <v>77</v>
      </c>
      <c r="X137" s="15"/>
      <c r="Y137" s="28" t="s">
        <v>78</v>
      </c>
      <c r="Z137" s="15"/>
      <c r="AA137" s="28" t="s">
        <v>79</v>
      </c>
      <c r="AB137" s="15"/>
      <c r="AC137" s="28" t="s">
        <v>80</v>
      </c>
      <c r="AD137" s="15"/>
      <c r="AE137" s="28" t="s">
        <v>81</v>
      </c>
      <c r="AG137" s="28" t="s">
        <v>82</v>
      </c>
      <c r="AI137" s="28" t="s">
        <v>83</v>
      </c>
    </row>
    <row r="138" spans="1:36" x14ac:dyDescent="0.25">
      <c r="A138" s="15"/>
      <c r="B138" s="15"/>
      <c r="C138" s="15"/>
      <c r="D138" s="15"/>
      <c r="E138" s="15"/>
      <c r="F138" s="15"/>
      <c r="G138">
        <f>G136^2</f>
        <v>9.1949900381033955E-3</v>
      </c>
      <c r="H138" s="15"/>
      <c r="I138">
        <f>I136^2</f>
        <v>4.3463492050688508E-2</v>
      </c>
      <c r="J138" s="15"/>
      <c r="K138">
        <f>K136^2</f>
        <v>4.3233913646124084E-2</v>
      </c>
      <c r="L138" s="15"/>
      <c r="M138">
        <f>M136^2</f>
        <v>1.3252878064627419E-5</v>
      </c>
      <c r="N138" s="15"/>
      <c r="O138">
        <f>O136^2</f>
        <v>6.1798997645489784E-4</v>
      </c>
      <c r="P138" s="15"/>
      <c r="Q138">
        <f>Q136^2</f>
        <v>3.9064478882226469E-3</v>
      </c>
      <c r="R138" s="15"/>
      <c r="S138">
        <f>S136^2</f>
        <v>3.6820169804978011E-5</v>
      </c>
      <c r="T138" s="15"/>
      <c r="U138">
        <f>U136^2</f>
        <v>1.0923035000005176E-2</v>
      </c>
      <c r="V138" s="15"/>
      <c r="W138">
        <f>W136^2</f>
        <v>6.4972960911655812E-4</v>
      </c>
      <c r="X138" s="15"/>
      <c r="Y138">
        <f>Y136^2</f>
        <v>8.5680334705440266E-3</v>
      </c>
      <c r="Z138" s="15"/>
      <c r="AA138">
        <f>AA136^2</f>
        <v>2.3606947313601356E-2</v>
      </c>
      <c r="AB138" s="15"/>
      <c r="AC138">
        <f>AC136^2</f>
        <v>0.14218614718654171</v>
      </c>
      <c r="AD138" s="15"/>
      <c r="AE138">
        <f>AE136^2</f>
        <v>2.4845586254365431E-2</v>
      </c>
      <c r="AG138">
        <f>AG136^2</f>
        <v>9.7562220956861866E-3</v>
      </c>
      <c r="AI138">
        <f>AI136^2</f>
        <v>6.4763982362895907E-3</v>
      </c>
    </row>
    <row r="139" spans="1:36" x14ac:dyDescent="0.25">
      <c r="A139" s="15"/>
      <c r="B139" s="15"/>
      <c r="C139" s="15"/>
      <c r="D139" s="15"/>
      <c r="E139" s="15"/>
      <c r="F139" s="15"/>
      <c r="H139" s="15"/>
      <c r="J139" s="15"/>
      <c r="L139" s="15"/>
      <c r="N139" s="15"/>
      <c r="P139" s="15"/>
      <c r="R139" s="15"/>
      <c r="T139" s="15"/>
      <c r="V139" s="15"/>
      <c r="X139" s="15"/>
      <c r="Z139" s="15"/>
      <c r="AB139" s="15"/>
      <c r="AD139" s="15"/>
    </row>
    <row r="140" spans="1:36" x14ac:dyDescent="0.25">
      <c r="A140" s="15"/>
      <c r="B140" s="15"/>
      <c r="C140" s="15"/>
      <c r="D140" s="15"/>
      <c r="E140" s="15"/>
      <c r="F140" s="15" t="s">
        <v>59</v>
      </c>
      <c r="G140">
        <f>1/SQRT(COUNT(C2:C133))</f>
        <v>8.7038827977848926E-2</v>
      </c>
      <c r="H140" s="15"/>
      <c r="J140" s="15"/>
      <c r="L140" s="15"/>
      <c r="N140" s="15"/>
      <c r="P140" s="15"/>
      <c r="R140" s="15"/>
      <c r="T140" s="15"/>
      <c r="V140" s="15"/>
      <c r="X140" s="15"/>
      <c r="Z140" s="15"/>
      <c r="AB140" s="15"/>
      <c r="AD140" s="15"/>
    </row>
    <row r="141" spans="1:36" ht="15.6" x14ac:dyDescent="0.3">
      <c r="A141" s="26" t="s">
        <v>66</v>
      </c>
      <c r="B141" s="15"/>
      <c r="C141" s="15"/>
      <c r="D141" s="15"/>
      <c r="E141" s="15"/>
      <c r="F141" s="15"/>
      <c r="H141" s="15"/>
      <c r="J141" s="15"/>
      <c r="L141" s="15"/>
      <c r="N141" s="15"/>
      <c r="P141" s="15"/>
      <c r="R141" s="15"/>
      <c r="T141" s="15"/>
      <c r="V141" s="15"/>
      <c r="X141" s="15"/>
      <c r="Z141" s="15"/>
      <c r="AB141" s="15"/>
      <c r="AD141" s="15"/>
    </row>
    <row r="142" spans="1:36" ht="24.6" customHeight="1" x14ac:dyDescent="0.25">
      <c r="A142" s="15"/>
      <c r="B142" s="15"/>
      <c r="C142" s="15"/>
      <c r="D142" s="15"/>
      <c r="E142" s="15"/>
      <c r="F142" s="23" t="s">
        <v>64</v>
      </c>
      <c r="G142">
        <f>NORMSINV(0.975)*G140</f>
        <v>0.17059296809316107</v>
      </c>
      <c r="H142" s="15"/>
      <c r="J142" s="15"/>
      <c r="L142" s="15"/>
      <c r="N142" s="15"/>
      <c r="P142" s="15"/>
      <c r="R142" s="15"/>
      <c r="T142" s="15"/>
      <c r="V142" s="15"/>
      <c r="X142" s="15"/>
      <c r="Z142" s="15"/>
      <c r="AB142" s="15"/>
      <c r="AD142" s="15"/>
    </row>
    <row r="143" spans="1:36" x14ac:dyDescent="0.25">
      <c r="B143" s="15"/>
      <c r="C143" s="15"/>
      <c r="D143" s="15"/>
      <c r="E143" s="15"/>
      <c r="F143" s="23" t="s">
        <v>65</v>
      </c>
      <c r="G143">
        <f>NORMSINV(0.025)*G140</f>
        <v>-0.1705929680931611</v>
      </c>
      <c r="H143" s="15"/>
      <c r="J143" s="15"/>
      <c r="L143" s="15"/>
      <c r="N143" s="15"/>
      <c r="P143" s="15"/>
      <c r="R143" s="15"/>
      <c r="T143" s="15"/>
      <c r="V143" s="15"/>
      <c r="X143" s="15"/>
      <c r="Z143" s="15"/>
      <c r="AB143" s="15"/>
      <c r="AD143" s="15"/>
    </row>
    <row r="144" spans="1:36" x14ac:dyDescent="0.25">
      <c r="A144" s="15"/>
      <c r="B144" s="15"/>
      <c r="C144" s="15"/>
      <c r="D144" s="15"/>
      <c r="E144" s="15"/>
      <c r="F144" s="15"/>
      <c r="H144" s="15"/>
      <c r="J144" s="15"/>
      <c r="L144" s="15"/>
      <c r="N144" s="15"/>
      <c r="P144" s="15"/>
      <c r="R144" s="15"/>
      <c r="T144" s="15"/>
      <c r="V144" s="15"/>
      <c r="X144" s="15"/>
      <c r="Z144" s="15"/>
      <c r="AB144" s="15"/>
      <c r="AD144" s="15"/>
    </row>
    <row r="145" spans="1:30" ht="28.2" customHeight="1" x14ac:dyDescent="0.3">
      <c r="A145" s="25" t="s">
        <v>63</v>
      </c>
      <c r="B145" s="15"/>
      <c r="C145" s="15"/>
      <c r="D145" s="15"/>
      <c r="E145" s="15"/>
      <c r="F145" s="15"/>
      <c r="G145">
        <f>1.96/SQRT(COUNT(C2:C133))</f>
        <v>0.17059610283658388</v>
      </c>
      <c r="H145" s="15"/>
      <c r="J145" s="15"/>
      <c r="L145" s="15"/>
      <c r="N145" s="15"/>
      <c r="P145" s="15"/>
      <c r="R145" s="15"/>
      <c r="T145" s="15"/>
      <c r="V145" s="15"/>
      <c r="X145" s="15"/>
      <c r="Z145" s="15"/>
      <c r="AB145" s="15"/>
      <c r="AD145" s="15"/>
    </row>
    <row r="146" spans="1:30" ht="18" x14ac:dyDescent="0.35">
      <c r="A146" s="22" t="s">
        <v>60</v>
      </c>
      <c r="B146" s="15">
        <v>0.05</v>
      </c>
      <c r="C146" s="15"/>
      <c r="D146" s="15"/>
      <c r="E146" s="15"/>
      <c r="F146" s="15"/>
      <c r="H146" s="15"/>
      <c r="J146" s="15"/>
      <c r="L146" s="15"/>
      <c r="N146" s="15"/>
      <c r="P146" s="15"/>
      <c r="R146" s="15"/>
      <c r="T146" s="15"/>
      <c r="V146" s="15"/>
      <c r="X146" s="15"/>
      <c r="Z146" s="15"/>
      <c r="AB146" s="15"/>
      <c r="AD146" s="15"/>
    </row>
    <row r="147" spans="1:30" ht="40.200000000000003" customHeight="1" x14ac:dyDescent="0.3">
      <c r="A147" s="24" t="s">
        <v>61</v>
      </c>
      <c r="B147" s="15">
        <f>1-_xlfn.NORM.DIST(AC136,0,G140,TRUE)</f>
        <v>7.3789588116435212E-6</v>
      </c>
      <c r="C147" s="15"/>
      <c r="D147" s="15"/>
      <c r="E147" s="15"/>
      <c r="F147" s="23" t="s">
        <v>67</v>
      </c>
      <c r="H147" s="15"/>
      <c r="J147" s="15"/>
      <c r="L147" s="15"/>
      <c r="N147" s="15"/>
      <c r="P147" s="15"/>
      <c r="R147" s="15"/>
      <c r="T147" s="15"/>
      <c r="V147" s="15"/>
      <c r="X147" s="15"/>
      <c r="Z147" s="15"/>
      <c r="AB147" s="15"/>
      <c r="AD147" s="15"/>
    </row>
    <row r="148" spans="1:30" ht="15.6" x14ac:dyDescent="0.3">
      <c r="A148" s="24" t="s">
        <v>62</v>
      </c>
      <c r="B148" s="15" t="str">
        <f>IF(B147&gt;B146,"NO SIG","SIG")</f>
        <v>SIG</v>
      </c>
      <c r="C148" s="15"/>
      <c r="D148" s="15"/>
      <c r="E148" s="15"/>
      <c r="F148" s="15"/>
      <c r="H148" s="15"/>
      <c r="J148" s="15"/>
      <c r="L148" s="15"/>
      <c r="N148" s="15"/>
      <c r="P148" s="15"/>
      <c r="R148" s="15"/>
      <c r="T148" s="15"/>
      <c r="V148" s="15"/>
      <c r="X148" s="15"/>
      <c r="Z148" s="15"/>
      <c r="AB148" s="15"/>
      <c r="AD148" s="15"/>
    </row>
    <row r="149" spans="1:30" ht="15.6" x14ac:dyDescent="0.3">
      <c r="A149" s="24"/>
      <c r="B149" s="15"/>
      <c r="C149" s="15"/>
      <c r="D149" s="15"/>
      <c r="E149" s="15"/>
      <c r="F149" s="15"/>
      <c r="H149" s="15"/>
      <c r="J149" s="15"/>
      <c r="L149" s="15"/>
      <c r="N149" s="15"/>
      <c r="P149" s="15"/>
      <c r="R149" s="15"/>
      <c r="T149" s="15"/>
      <c r="V149" s="15"/>
      <c r="X149" s="15"/>
      <c r="Z149" s="15"/>
      <c r="AB149" s="15"/>
      <c r="AD149" s="15"/>
    </row>
    <row r="150" spans="1:30" x14ac:dyDescent="0.25">
      <c r="A150" s="17" t="s">
        <v>85</v>
      </c>
      <c r="B150" s="15"/>
      <c r="C150" s="15"/>
      <c r="D150" s="15"/>
      <c r="E150" s="15"/>
      <c r="F150" s="15"/>
      <c r="H150" s="15"/>
      <c r="J150" s="15"/>
      <c r="L150" s="15"/>
      <c r="N150" s="15"/>
      <c r="P150" s="15"/>
      <c r="R150" s="15"/>
      <c r="T150" s="15"/>
      <c r="V150" s="15"/>
      <c r="X150" s="15"/>
      <c r="Z150" s="15"/>
      <c r="AB150" s="15"/>
      <c r="AD150" s="15"/>
    </row>
    <row r="151" spans="1:30" ht="21" x14ac:dyDescent="0.4">
      <c r="A151" s="29" t="s">
        <v>84</v>
      </c>
      <c r="B151" s="15">
        <f>COUNT(C2:C133)*SUM(G138:AI138)</f>
        <v>43.227228767396937</v>
      </c>
      <c r="C151" s="15"/>
      <c r="D151" s="15"/>
      <c r="E151" s="15"/>
      <c r="F151" s="15"/>
      <c r="H151" s="15"/>
      <c r="J151" s="15"/>
      <c r="L151" s="15"/>
      <c r="N151" s="15"/>
      <c r="P151" s="15"/>
      <c r="R151" s="15"/>
      <c r="T151" s="15"/>
      <c r="V151" s="15"/>
      <c r="X151" s="15"/>
      <c r="Z151" s="15"/>
      <c r="AB151" s="15"/>
      <c r="AD151" s="15"/>
    </row>
    <row r="152" spans="1:30" ht="15.6" x14ac:dyDescent="0.3">
      <c r="A152" s="24" t="s">
        <v>86</v>
      </c>
      <c r="B152" s="15">
        <v>0.05</v>
      </c>
      <c r="C152" s="15"/>
      <c r="D152" s="15"/>
      <c r="E152" s="15"/>
      <c r="F152" s="15"/>
      <c r="H152" s="15"/>
      <c r="J152" s="15"/>
      <c r="L152" s="15"/>
      <c r="N152" s="15"/>
      <c r="P152" s="15"/>
      <c r="R152" s="15"/>
      <c r="T152" s="15"/>
      <c r="V152" s="15"/>
      <c r="X152" s="15"/>
      <c r="Z152" s="15"/>
      <c r="AB152" s="15"/>
      <c r="AD152" s="15"/>
    </row>
    <row r="153" spans="1:30" x14ac:dyDescent="0.25">
      <c r="A153" s="23" t="s">
        <v>87</v>
      </c>
      <c r="B153" s="15">
        <v>14</v>
      </c>
      <c r="C153" s="15"/>
      <c r="D153" s="15"/>
      <c r="E153" s="15"/>
      <c r="F153" s="15"/>
      <c r="H153" s="15"/>
      <c r="J153" s="15"/>
      <c r="L153" s="15"/>
      <c r="N153" s="15"/>
      <c r="P153" s="15"/>
      <c r="R153" s="15"/>
      <c r="T153" s="15"/>
      <c r="V153" s="15"/>
      <c r="X153" s="15"/>
      <c r="Z153" s="15"/>
      <c r="AB153" s="15"/>
      <c r="AD153" s="15"/>
    </row>
    <row r="154" spans="1:30" x14ac:dyDescent="0.25">
      <c r="A154" s="15"/>
      <c r="B154" s="15">
        <f>CHIINV(B152,B153)</f>
        <v>23.68479130484058</v>
      </c>
      <c r="C154" s="15"/>
      <c r="D154" s="15"/>
      <c r="E154" s="15"/>
      <c r="F154" s="15"/>
      <c r="H154" s="15"/>
      <c r="J154" s="15"/>
      <c r="L154" s="15"/>
      <c r="N154" s="15"/>
      <c r="P154" s="15"/>
      <c r="R154" s="15"/>
      <c r="T154" s="15"/>
      <c r="V154" s="15"/>
      <c r="X154" s="15"/>
      <c r="Z154" s="15"/>
      <c r="AB154" s="15"/>
      <c r="AD154" s="15"/>
    </row>
    <row r="155" spans="1:30" x14ac:dyDescent="0.25">
      <c r="A155" s="23" t="s">
        <v>92</v>
      </c>
      <c r="B155" s="15" t="str">
        <f>IF(B151&gt;B154,"SIG","NO SIG")</f>
        <v>SIG</v>
      </c>
      <c r="C155" s="15"/>
      <c r="D155" s="15"/>
      <c r="E155" s="15"/>
      <c r="F155" s="15"/>
      <c r="H155" s="15"/>
      <c r="J155" s="15"/>
      <c r="L155" s="15"/>
      <c r="N155" s="15"/>
      <c r="P155" s="15"/>
      <c r="R155" s="15"/>
      <c r="T155" s="15"/>
      <c r="V155" s="15"/>
      <c r="X155" s="15"/>
      <c r="Z155" s="15"/>
      <c r="AB155" s="15"/>
      <c r="AD155" s="15"/>
    </row>
    <row r="156" spans="1:30" x14ac:dyDescent="0.25">
      <c r="A156" s="15"/>
      <c r="B156" s="15"/>
      <c r="C156" s="15"/>
      <c r="D156" s="15"/>
      <c r="E156" s="15"/>
      <c r="F156" s="15"/>
      <c r="H156" s="15"/>
      <c r="J156" s="15"/>
      <c r="L156" s="15"/>
      <c r="N156" s="15"/>
      <c r="P156" s="15"/>
      <c r="R156" s="15"/>
      <c r="T156" s="15"/>
      <c r="V156" s="15"/>
      <c r="X156" s="15"/>
      <c r="Z156" s="15"/>
      <c r="AB156" s="15"/>
      <c r="AD156" s="15"/>
    </row>
    <row r="157" spans="1:30" x14ac:dyDescent="0.25">
      <c r="A157" s="15"/>
      <c r="B157" s="15"/>
      <c r="C157" s="15"/>
      <c r="D157" s="15"/>
      <c r="E157" s="15"/>
      <c r="F157" s="15"/>
      <c r="H157" s="15"/>
      <c r="J157" s="15"/>
      <c r="L157" s="15"/>
      <c r="N157" s="15"/>
      <c r="P157" s="15"/>
      <c r="R157" s="15"/>
      <c r="T157" s="15"/>
      <c r="V157" s="15"/>
      <c r="X157" s="15"/>
      <c r="Z157" s="15"/>
      <c r="AB157" s="15"/>
      <c r="AD157" s="15"/>
    </row>
    <row r="158" spans="1:30" x14ac:dyDescent="0.25">
      <c r="A158" s="15"/>
      <c r="B158" s="15"/>
      <c r="C158" s="15"/>
      <c r="D158" s="15"/>
      <c r="E158" s="15"/>
      <c r="F158" s="15"/>
      <c r="H158" s="15"/>
      <c r="J158" s="15"/>
      <c r="L158" s="15"/>
      <c r="N158" s="15"/>
      <c r="P158" s="15"/>
      <c r="R158" s="15"/>
      <c r="T158" s="15"/>
      <c r="V158" s="15"/>
      <c r="X158" s="15"/>
      <c r="Z158" s="15"/>
      <c r="AB158" s="15"/>
      <c r="AD158" s="15"/>
    </row>
    <row r="159" spans="1:30" x14ac:dyDescent="0.25">
      <c r="A159" s="15"/>
      <c r="B159" s="15"/>
      <c r="C159" s="15"/>
      <c r="D159" s="15"/>
      <c r="E159" s="15"/>
      <c r="F159" s="15"/>
      <c r="H159" s="15"/>
      <c r="J159" s="15"/>
      <c r="L159" s="15"/>
      <c r="N159" s="15"/>
      <c r="P159" s="15"/>
      <c r="R159" s="15"/>
      <c r="T159" s="15"/>
      <c r="V159" s="15"/>
      <c r="X159" s="15"/>
      <c r="Z159" s="15"/>
      <c r="AB159" s="15"/>
      <c r="AD159" s="15"/>
    </row>
    <row r="160" spans="1:30" x14ac:dyDescent="0.25">
      <c r="A160" s="15"/>
      <c r="B160" s="15"/>
      <c r="C160" s="15"/>
      <c r="D160" s="15"/>
      <c r="E160" s="15"/>
      <c r="F160" s="15"/>
      <c r="H160" s="15"/>
      <c r="J160" s="15"/>
      <c r="L160" s="15"/>
      <c r="N160" s="15"/>
      <c r="P160" s="15"/>
      <c r="R160" s="15"/>
      <c r="T160" s="15"/>
      <c r="V160" s="15"/>
      <c r="X160" s="15"/>
      <c r="Z160" s="15"/>
      <c r="AB160" s="15"/>
      <c r="AD160" s="15"/>
    </row>
    <row r="161" spans="1:30" x14ac:dyDescent="0.25">
      <c r="A161" s="15"/>
      <c r="B161" s="15"/>
      <c r="C161" s="15"/>
      <c r="D161" s="15"/>
      <c r="E161" s="15"/>
      <c r="F161" s="15"/>
      <c r="H161" s="15"/>
      <c r="J161" s="15"/>
      <c r="L161" s="15"/>
      <c r="N161" s="15"/>
      <c r="P161" s="15"/>
      <c r="R161" s="15"/>
      <c r="T161" s="15"/>
      <c r="V161" s="15"/>
      <c r="X161" s="15"/>
      <c r="Z161" s="15"/>
      <c r="AB161" s="15"/>
      <c r="AD161" s="15"/>
    </row>
    <row r="162" spans="1:30" x14ac:dyDescent="0.25">
      <c r="A162" s="15"/>
      <c r="B162" s="15"/>
      <c r="C162" s="15"/>
      <c r="D162" s="15"/>
      <c r="E162" s="15"/>
      <c r="F162" s="15"/>
      <c r="H162" s="15"/>
      <c r="J162" s="15"/>
      <c r="L162" s="15"/>
      <c r="N162" s="15"/>
      <c r="P162" s="15"/>
      <c r="R162" s="15"/>
      <c r="T162" s="15"/>
      <c r="V162" s="15"/>
      <c r="X162" s="15"/>
      <c r="Z162" s="15"/>
      <c r="AB162" s="15"/>
      <c r="AD162" s="15"/>
    </row>
    <row r="163" spans="1:30" x14ac:dyDescent="0.25">
      <c r="A163" s="15"/>
      <c r="B163" s="15"/>
      <c r="C163" s="15"/>
      <c r="D163" s="15"/>
      <c r="E163" s="15"/>
      <c r="F163" s="15"/>
      <c r="H163" s="15"/>
      <c r="J163" s="15"/>
      <c r="L163" s="15"/>
      <c r="N163" s="15"/>
      <c r="P163" s="15"/>
      <c r="R163" s="15"/>
      <c r="T163" s="15"/>
      <c r="V163" s="15"/>
      <c r="X163" s="15"/>
      <c r="Z163" s="15"/>
      <c r="AB163" s="15"/>
      <c r="AD163" s="15"/>
    </row>
    <row r="164" spans="1:30" x14ac:dyDescent="0.25">
      <c r="A164" s="15"/>
      <c r="B164" s="15"/>
      <c r="C164" s="15"/>
      <c r="D164" s="15"/>
      <c r="E164" s="15"/>
      <c r="F164" s="15"/>
      <c r="H164" s="15"/>
      <c r="J164" s="15"/>
      <c r="L164" s="15"/>
      <c r="N164" s="15"/>
      <c r="P164" s="15"/>
      <c r="R164" s="15"/>
      <c r="T164" s="15"/>
      <c r="V164" s="15"/>
      <c r="X164" s="15"/>
      <c r="Z164" s="15"/>
      <c r="AB164" s="15"/>
      <c r="AD164" s="15"/>
    </row>
    <row r="165" spans="1:30" x14ac:dyDescent="0.25">
      <c r="A165" s="15"/>
      <c r="B165" s="15"/>
      <c r="C165" s="15"/>
      <c r="D165" s="15"/>
      <c r="E165" s="15"/>
      <c r="F165" s="15"/>
      <c r="H165" s="15"/>
      <c r="J165" s="15"/>
      <c r="L165" s="15"/>
      <c r="N165" s="15"/>
      <c r="P165" s="15"/>
      <c r="R165" s="15"/>
      <c r="T165" s="15"/>
      <c r="V165" s="15"/>
      <c r="X165" s="15"/>
      <c r="Z165" s="15"/>
      <c r="AB165" s="15"/>
      <c r="AD165" s="15"/>
    </row>
    <row r="166" spans="1:30" x14ac:dyDescent="0.25">
      <c r="A166" s="15"/>
      <c r="B166" s="15"/>
      <c r="C166" s="15"/>
      <c r="D166" s="15"/>
      <c r="E166" s="15"/>
      <c r="F166" s="15"/>
      <c r="H166" s="15"/>
      <c r="J166" s="15"/>
      <c r="L166" s="15"/>
      <c r="N166" s="15"/>
      <c r="P166" s="15"/>
      <c r="R166" s="15"/>
      <c r="T166" s="15"/>
      <c r="V166" s="15"/>
      <c r="X166" s="15"/>
      <c r="Z166" s="15"/>
      <c r="AB166" s="15"/>
      <c r="AD166" s="15"/>
    </row>
    <row r="167" spans="1:30" x14ac:dyDescent="0.25">
      <c r="A167" s="15"/>
      <c r="B167" s="15"/>
      <c r="C167" s="15"/>
      <c r="D167" s="15"/>
      <c r="E167" s="15"/>
      <c r="F167" s="15"/>
      <c r="H167" s="15"/>
      <c r="J167" s="15"/>
      <c r="L167" s="15"/>
      <c r="N167" s="15"/>
      <c r="P167" s="15"/>
      <c r="R167" s="15"/>
      <c r="T167" s="15"/>
      <c r="V167" s="15"/>
      <c r="X167" s="15"/>
      <c r="Z167" s="15"/>
      <c r="AB167" s="15"/>
      <c r="AD167" s="15"/>
    </row>
    <row r="168" spans="1:30" x14ac:dyDescent="0.25">
      <c r="A168" s="15"/>
      <c r="B168" s="15"/>
      <c r="C168" s="15"/>
      <c r="D168" s="15"/>
      <c r="E168" s="15"/>
      <c r="F168" s="15"/>
      <c r="H168" s="15"/>
      <c r="J168" s="15"/>
      <c r="L168" s="15"/>
      <c r="N168" s="15"/>
      <c r="P168" s="15"/>
      <c r="R168" s="15"/>
      <c r="T168" s="15"/>
      <c r="V168" s="15"/>
      <c r="X168" s="15"/>
      <c r="Z168" s="15"/>
      <c r="AB168" s="15"/>
      <c r="AD168" s="15"/>
    </row>
    <row r="169" spans="1:30" x14ac:dyDescent="0.25">
      <c r="A169" s="15"/>
      <c r="B169" s="15"/>
      <c r="C169" s="15"/>
      <c r="D169" s="15"/>
      <c r="E169" s="15"/>
      <c r="F169" s="15"/>
      <c r="H169" s="15"/>
      <c r="J169" s="15"/>
      <c r="L169" s="15"/>
      <c r="N169" s="15"/>
      <c r="P169" s="15"/>
      <c r="R169" s="15"/>
      <c r="T169" s="15"/>
      <c r="V169" s="15"/>
      <c r="X169" s="15"/>
      <c r="Z169" s="15"/>
      <c r="AB169" s="15"/>
      <c r="AD169" s="15"/>
    </row>
    <row r="170" spans="1:30" x14ac:dyDescent="0.25">
      <c r="A170" s="15"/>
      <c r="B170" s="15"/>
      <c r="C170" s="15"/>
      <c r="D170" s="15"/>
      <c r="E170" s="15"/>
      <c r="F170" s="15"/>
      <c r="H170" s="15"/>
      <c r="J170" s="15"/>
      <c r="L170" s="15"/>
      <c r="N170" s="15"/>
      <c r="P170" s="15"/>
      <c r="R170" s="15"/>
      <c r="T170" s="15"/>
      <c r="V170" s="15"/>
      <c r="X170" s="15"/>
      <c r="Z170" s="15"/>
      <c r="AB170" s="15"/>
      <c r="AD170" s="15"/>
    </row>
    <row r="171" spans="1:30" x14ac:dyDescent="0.25">
      <c r="A171" s="15"/>
      <c r="B171" s="15"/>
      <c r="C171" s="15"/>
      <c r="D171" s="15"/>
      <c r="E171" s="15"/>
      <c r="F171" s="15"/>
      <c r="H171" s="15"/>
      <c r="J171" s="15"/>
      <c r="L171" s="15"/>
      <c r="N171" s="15"/>
      <c r="P171" s="15"/>
      <c r="R171" s="15"/>
      <c r="T171" s="15"/>
      <c r="V171" s="15"/>
      <c r="X171" s="15"/>
      <c r="Z171" s="15"/>
      <c r="AB171" s="15"/>
      <c r="AD171" s="15"/>
    </row>
    <row r="172" spans="1:30" x14ac:dyDescent="0.25">
      <c r="A172" s="15"/>
      <c r="B172" s="15"/>
      <c r="C172" s="15"/>
      <c r="D172" s="15"/>
      <c r="E172" s="15"/>
      <c r="F172" s="15"/>
      <c r="H172" s="15"/>
      <c r="J172" s="15"/>
      <c r="L172" s="15"/>
      <c r="N172" s="15"/>
      <c r="P172" s="15"/>
      <c r="R172" s="15"/>
      <c r="T172" s="15"/>
      <c r="V172" s="15"/>
      <c r="X172" s="15"/>
      <c r="Z172" s="15"/>
      <c r="AB172" s="15"/>
      <c r="AD172" s="15"/>
    </row>
    <row r="173" spans="1:30" x14ac:dyDescent="0.25">
      <c r="A173" s="15"/>
      <c r="B173" s="15"/>
      <c r="C173" s="15"/>
      <c r="D173" s="15"/>
      <c r="E173" s="15"/>
      <c r="F173" s="15"/>
      <c r="H173" s="15"/>
      <c r="J173" s="15"/>
      <c r="L173" s="15"/>
      <c r="N173" s="15"/>
      <c r="P173" s="15"/>
      <c r="R173" s="15"/>
      <c r="T173" s="15"/>
      <c r="V173" s="15"/>
      <c r="X173" s="15"/>
      <c r="Z173" s="15"/>
      <c r="AB173" s="15"/>
      <c r="AD173" s="15"/>
    </row>
    <row r="174" spans="1:30" x14ac:dyDescent="0.25">
      <c r="A174" s="15"/>
      <c r="B174" s="15"/>
      <c r="C174" s="15"/>
      <c r="D174" s="15"/>
      <c r="E174" s="15"/>
      <c r="F174" s="15"/>
      <c r="H174" s="15"/>
      <c r="J174" s="15"/>
      <c r="L174" s="15"/>
      <c r="N174" s="15"/>
      <c r="P174" s="15"/>
      <c r="R174" s="15"/>
      <c r="T174" s="15"/>
      <c r="V174" s="15"/>
      <c r="X174" s="15"/>
      <c r="Z174" s="15"/>
      <c r="AB174" s="15"/>
      <c r="AD174" s="15"/>
    </row>
    <row r="175" spans="1:30" x14ac:dyDescent="0.25">
      <c r="A175" s="15"/>
      <c r="B175" s="15"/>
      <c r="C175" s="15"/>
      <c r="D175" s="15"/>
      <c r="E175" s="15"/>
      <c r="F175" s="15"/>
      <c r="H175" s="15"/>
      <c r="J175" s="15"/>
      <c r="L175" s="15"/>
      <c r="N175" s="15"/>
      <c r="P175" s="15"/>
      <c r="R175" s="15"/>
      <c r="T175" s="15"/>
      <c r="V175" s="15"/>
      <c r="X175" s="15"/>
      <c r="Z175" s="15"/>
      <c r="AB175" s="15"/>
      <c r="AD175" s="15"/>
    </row>
    <row r="176" spans="1:30" x14ac:dyDescent="0.25">
      <c r="A176" s="15"/>
      <c r="B176" s="15"/>
      <c r="C176" s="15"/>
      <c r="D176" s="15"/>
      <c r="E176" s="15"/>
      <c r="F176" s="15"/>
      <c r="H176" s="15"/>
      <c r="J176" s="15"/>
      <c r="L176" s="15"/>
      <c r="N176" s="15"/>
      <c r="P176" s="15"/>
      <c r="R176" s="15"/>
      <c r="T176" s="15"/>
      <c r="V176" s="15"/>
      <c r="X176" s="15"/>
      <c r="Z176" s="15"/>
      <c r="AB176" s="15"/>
      <c r="AD176" s="15"/>
    </row>
    <row r="177" spans="1:30" x14ac:dyDescent="0.25">
      <c r="A177" s="15"/>
      <c r="B177" s="15"/>
      <c r="C177" s="15"/>
      <c r="D177" s="15"/>
      <c r="E177" s="15"/>
      <c r="F177" s="15"/>
      <c r="H177" s="15"/>
      <c r="J177" s="15"/>
      <c r="L177" s="15"/>
      <c r="N177" s="15"/>
      <c r="P177" s="15"/>
      <c r="R177" s="15"/>
      <c r="T177" s="15"/>
      <c r="V177" s="15"/>
      <c r="X177" s="15"/>
      <c r="Z177" s="15"/>
      <c r="AB177" s="15"/>
      <c r="AD177" s="15"/>
    </row>
    <row r="178" spans="1:30" x14ac:dyDescent="0.25">
      <c r="A178" s="15"/>
      <c r="B178" s="15"/>
      <c r="C178" s="15"/>
      <c r="D178" s="15"/>
      <c r="E178" s="15"/>
      <c r="F178" s="15"/>
      <c r="H178" s="15"/>
      <c r="J178" s="15"/>
      <c r="L178" s="15"/>
      <c r="N178" s="15"/>
      <c r="P178" s="15"/>
      <c r="R178" s="15"/>
      <c r="T178" s="15"/>
      <c r="V178" s="15"/>
      <c r="X178" s="15"/>
      <c r="Z178" s="15"/>
      <c r="AB178" s="15"/>
      <c r="AD178" s="15"/>
    </row>
    <row r="179" spans="1:30" x14ac:dyDescent="0.25">
      <c r="A179" s="15"/>
      <c r="B179" s="15"/>
      <c r="C179" s="15"/>
      <c r="D179" s="15"/>
      <c r="E179" s="15"/>
      <c r="F179" s="15"/>
      <c r="H179" s="15"/>
      <c r="J179" s="15"/>
      <c r="L179" s="15"/>
      <c r="N179" s="15"/>
      <c r="P179" s="15"/>
      <c r="R179" s="15"/>
      <c r="T179" s="15"/>
      <c r="V179" s="15"/>
      <c r="X179" s="15"/>
      <c r="Z179" s="15"/>
      <c r="AB179" s="15"/>
      <c r="AD179" s="15"/>
    </row>
    <row r="180" spans="1:30" x14ac:dyDescent="0.25">
      <c r="A180" s="15"/>
      <c r="B180" s="15"/>
      <c r="C180" s="15"/>
      <c r="D180" s="15"/>
      <c r="E180" s="15"/>
      <c r="F180" s="15"/>
      <c r="H180" s="15"/>
      <c r="J180" s="15"/>
      <c r="L180" s="15"/>
      <c r="N180" s="15"/>
      <c r="P180" s="15"/>
      <c r="R180" s="15"/>
      <c r="T180" s="15"/>
      <c r="V180" s="15"/>
      <c r="X180" s="15"/>
      <c r="Z180" s="15"/>
      <c r="AB180" s="15"/>
      <c r="AD180" s="15"/>
    </row>
    <row r="181" spans="1:30" x14ac:dyDescent="0.25">
      <c r="A181" s="15"/>
      <c r="B181" s="15"/>
      <c r="C181" s="15"/>
      <c r="D181" s="15"/>
      <c r="E181" s="15"/>
      <c r="F181" s="15"/>
      <c r="H181" s="15"/>
      <c r="J181" s="15"/>
      <c r="L181" s="15"/>
      <c r="N181" s="15"/>
      <c r="P181" s="15"/>
      <c r="R181" s="15"/>
      <c r="T181" s="15"/>
      <c r="V181" s="15"/>
      <c r="X181" s="15"/>
      <c r="Z181" s="15"/>
      <c r="AB181" s="15"/>
      <c r="AD181" s="15"/>
    </row>
    <row r="182" spans="1:30" x14ac:dyDescent="0.25">
      <c r="A182" s="15"/>
      <c r="B182" s="15"/>
      <c r="C182" s="15"/>
      <c r="D182" s="15"/>
      <c r="E182" s="15"/>
      <c r="F182" s="15"/>
      <c r="H182" s="15"/>
      <c r="J182" s="15"/>
      <c r="L182" s="15"/>
      <c r="N182" s="15"/>
      <c r="P182" s="15"/>
      <c r="R182" s="15"/>
      <c r="T182" s="15"/>
      <c r="V182" s="15"/>
      <c r="X182" s="15"/>
      <c r="Z182" s="15"/>
      <c r="AB182" s="15"/>
      <c r="AD182" s="15"/>
    </row>
    <row r="183" spans="1:30" x14ac:dyDescent="0.25">
      <c r="A183" s="15"/>
      <c r="B183" s="15"/>
      <c r="C183" s="15"/>
      <c r="D183" s="15"/>
      <c r="E183" s="15"/>
      <c r="F183" s="15"/>
      <c r="H183" s="15"/>
      <c r="J183" s="15"/>
      <c r="L183" s="15"/>
      <c r="N183" s="15"/>
      <c r="P183" s="15"/>
      <c r="R183" s="15"/>
      <c r="T183" s="15"/>
      <c r="V183" s="15"/>
      <c r="X183" s="15"/>
      <c r="Z183" s="15"/>
      <c r="AB183" s="15"/>
      <c r="AD183" s="15"/>
    </row>
    <row r="184" spans="1:30" x14ac:dyDescent="0.25">
      <c r="A184" s="15"/>
      <c r="B184" s="15"/>
      <c r="C184" s="15"/>
      <c r="D184" s="15"/>
      <c r="E184" s="15"/>
      <c r="F184" s="15"/>
      <c r="H184" s="15"/>
      <c r="J184" s="15"/>
      <c r="L184" s="15"/>
      <c r="N184" s="15"/>
      <c r="P184" s="15"/>
      <c r="R184" s="15"/>
      <c r="T184" s="15"/>
      <c r="V184" s="15"/>
      <c r="X184" s="15"/>
      <c r="Z184" s="15"/>
      <c r="AB184" s="15"/>
      <c r="AD184" s="15"/>
    </row>
    <row r="185" spans="1:30" x14ac:dyDescent="0.25">
      <c r="A185" s="15"/>
      <c r="B185" s="15"/>
      <c r="C185" s="15"/>
      <c r="D185" s="15"/>
      <c r="E185" s="15"/>
      <c r="F185" s="15"/>
      <c r="H185" s="15"/>
      <c r="J185" s="15"/>
      <c r="L185" s="15"/>
      <c r="N185" s="15"/>
      <c r="P185" s="15"/>
      <c r="R185" s="15"/>
      <c r="T185" s="15"/>
      <c r="V185" s="15"/>
      <c r="X185" s="15"/>
      <c r="Z185" s="15"/>
      <c r="AB185" s="15"/>
      <c r="AD185" s="15"/>
    </row>
    <row r="186" spans="1:30" x14ac:dyDescent="0.25">
      <c r="A186" s="15"/>
      <c r="B186" s="15"/>
      <c r="C186" s="15"/>
      <c r="D186" s="15"/>
      <c r="E186" s="15"/>
      <c r="F186" s="15"/>
      <c r="H186" s="15"/>
      <c r="J186" s="15"/>
      <c r="L186" s="15"/>
      <c r="N186" s="15"/>
      <c r="P186" s="15"/>
      <c r="R186" s="15"/>
      <c r="T186" s="15"/>
      <c r="V186" s="15"/>
      <c r="X186" s="15"/>
      <c r="Z186" s="15"/>
      <c r="AB186" s="15"/>
      <c r="AD186" s="15"/>
    </row>
    <row r="187" spans="1:30" x14ac:dyDescent="0.25">
      <c r="A187" s="15"/>
      <c r="B187" s="15"/>
      <c r="C187" s="15"/>
      <c r="D187" s="15"/>
      <c r="E187" s="15"/>
      <c r="F187" s="15"/>
      <c r="H187" s="15"/>
      <c r="J187" s="15"/>
      <c r="L187" s="15"/>
      <c r="N187" s="15"/>
      <c r="P187" s="15"/>
      <c r="R187" s="15"/>
      <c r="T187" s="15"/>
      <c r="V187" s="15"/>
      <c r="X187" s="15"/>
      <c r="Z187" s="15"/>
      <c r="AB187" s="15"/>
      <c r="AD187" s="15"/>
    </row>
    <row r="188" spans="1:30" x14ac:dyDescent="0.25">
      <c r="A188" s="15"/>
      <c r="B188" s="15"/>
      <c r="C188" s="15"/>
      <c r="D188" s="15"/>
      <c r="E188" s="15"/>
      <c r="F188" s="15"/>
      <c r="H188" s="15"/>
      <c r="J188" s="15"/>
      <c r="L188" s="15"/>
      <c r="N188" s="15"/>
      <c r="P188" s="15"/>
      <c r="R188" s="15"/>
      <c r="T188" s="15"/>
      <c r="V188" s="15"/>
      <c r="X188" s="15"/>
      <c r="Z188" s="15"/>
      <c r="AB188" s="15"/>
      <c r="AD188" s="15"/>
    </row>
    <row r="189" spans="1:30" x14ac:dyDescent="0.25">
      <c r="A189" s="15"/>
      <c r="B189" s="15"/>
      <c r="C189" s="15"/>
      <c r="D189" s="15"/>
      <c r="E189" s="15"/>
      <c r="F189" s="15"/>
      <c r="H189" s="15"/>
      <c r="J189" s="15"/>
      <c r="L189" s="15"/>
      <c r="N189" s="15"/>
      <c r="P189" s="15"/>
      <c r="R189" s="15"/>
      <c r="T189" s="15"/>
      <c r="V189" s="15"/>
      <c r="X189" s="15"/>
      <c r="Z189" s="15"/>
      <c r="AB189" s="15"/>
      <c r="AD189" s="15"/>
    </row>
    <row r="190" spans="1:30" x14ac:dyDescent="0.25">
      <c r="A190" s="15"/>
      <c r="B190" s="15"/>
      <c r="C190" s="15"/>
      <c r="D190" s="15"/>
      <c r="E190" s="15"/>
      <c r="F190" s="15"/>
      <c r="H190" s="15"/>
      <c r="J190" s="15"/>
      <c r="L190" s="15"/>
      <c r="N190" s="15"/>
      <c r="P190" s="15"/>
      <c r="R190" s="15"/>
      <c r="T190" s="15"/>
      <c r="V190" s="15"/>
      <c r="X190" s="15"/>
      <c r="Z190" s="15"/>
      <c r="AB190" s="15"/>
      <c r="AD190" s="15"/>
    </row>
    <row r="191" spans="1:30" x14ac:dyDescent="0.25">
      <c r="A191" s="15"/>
      <c r="B191" s="15"/>
      <c r="C191" s="15"/>
      <c r="D191" s="15"/>
      <c r="E191" s="15"/>
      <c r="F191" s="15"/>
      <c r="H191" s="15"/>
      <c r="J191" s="15"/>
      <c r="L191" s="15"/>
      <c r="N191" s="15"/>
      <c r="P191" s="15"/>
      <c r="R191" s="15"/>
      <c r="T191" s="15"/>
      <c r="V191" s="15"/>
      <c r="X191" s="15"/>
      <c r="Z191" s="15"/>
      <c r="AB191" s="15"/>
      <c r="AD191" s="15"/>
    </row>
    <row r="192" spans="1:30" x14ac:dyDescent="0.25">
      <c r="A192" s="15"/>
      <c r="B192" s="15"/>
      <c r="C192" s="15"/>
      <c r="D192" s="15"/>
      <c r="E192" s="15"/>
      <c r="F192" s="15"/>
      <c r="H192" s="15"/>
      <c r="J192" s="15"/>
      <c r="L192" s="15"/>
      <c r="N192" s="15"/>
      <c r="P192" s="15"/>
      <c r="R192" s="15"/>
      <c r="T192" s="15"/>
      <c r="V192" s="15"/>
      <c r="X192" s="15"/>
      <c r="Z192" s="15"/>
      <c r="AB192" s="15"/>
      <c r="AD192" s="15"/>
    </row>
    <row r="193" spans="1:30" x14ac:dyDescent="0.25">
      <c r="A193" s="15"/>
      <c r="B193" s="15"/>
      <c r="C193" s="15"/>
      <c r="D193" s="15"/>
      <c r="E193" s="15"/>
      <c r="F193" s="15"/>
      <c r="H193" s="15"/>
      <c r="J193" s="15"/>
      <c r="L193" s="15"/>
      <c r="N193" s="15"/>
      <c r="P193" s="15"/>
      <c r="R193" s="15"/>
      <c r="T193" s="15"/>
      <c r="V193" s="15"/>
      <c r="X193" s="15"/>
      <c r="Z193" s="15"/>
      <c r="AB193" s="15"/>
      <c r="AD193" s="15"/>
    </row>
    <row r="194" spans="1:30" x14ac:dyDescent="0.25">
      <c r="A194" s="15"/>
      <c r="B194" s="15"/>
      <c r="C194" s="15"/>
      <c r="D194" s="15"/>
      <c r="E194" s="15"/>
      <c r="F194" s="15"/>
      <c r="H194" s="15"/>
      <c r="J194" s="15"/>
      <c r="L194" s="15"/>
      <c r="N194" s="15"/>
      <c r="P194" s="15"/>
      <c r="R194" s="15"/>
      <c r="T194" s="15"/>
      <c r="V194" s="15"/>
      <c r="X194" s="15"/>
      <c r="Z194" s="15"/>
      <c r="AB194" s="15"/>
      <c r="AD194" s="15"/>
    </row>
    <row r="195" spans="1:30" x14ac:dyDescent="0.25">
      <c r="A195" s="15"/>
      <c r="B195" s="15"/>
      <c r="C195" s="15"/>
      <c r="D195" s="15"/>
      <c r="E195" s="15"/>
      <c r="F195" s="15"/>
      <c r="H195" s="15"/>
      <c r="J195" s="15"/>
      <c r="L195" s="15"/>
      <c r="N195" s="15"/>
      <c r="P195" s="15"/>
      <c r="R195" s="15"/>
      <c r="T195" s="15"/>
      <c r="V195" s="15"/>
      <c r="X195" s="15"/>
      <c r="Z195" s="15"/>
      <c r="AB195" s="15"/>
      <c r="AD195" s="15"/>
    </row>
    <row r="196" spans="1:30" x14ac:dyDescent="0.25">
      <c r="A196" s="15"/>
      <c r="B196" s="15"/>
      <c r="C196" s="15"/>
      <c r="D196" s="15"/>
      <c r="E196" s="15"/>
      <c r="F196" s="15"/>
      <c r="H196" s="15"/>
      <c r="J196" s="15"/>
      <c r="L196" s="15"/>
      <c r="N196" s="15"/>
      <c r="P196" s="15"/>
      <c r="R196" s="15"/>
      <c r="T196" s="15"/>
      <c r="V196" s="15"/>
      <c r="X196" s="15"/>
      <c r="Z196" s="15"/>
      <c r="AB196" s="15"/>
      <c r="AD196" s="15"/>
    </row>
    <row r="197" spans="1:30" x14ac:dyDescent="0.25">
      <c r="A197" s="15"/>
      <c r="B197" s="15"/>
      <c r="C197" s="15"/>
      <c r="D197" s="15"/>
      <c r="E197" s="15"/>
      <c r="F197" s="15"/>
      <c r="H197" s="15"/>
      <c r="J197" s="15"/>
      <c r="L197" s="15"/>
      <c r="N197" s="15"/>
      <c r="P197" s="15"/>
      <c r="R197" s="15"/>
      <c r="T197" s="15"/>
      <c r="V197" s="15"/>
      <c r="X197" s="15"/>
      <c r="Z197" s="15"/>
      <c r="AB197" s="15"/>
      <c r="AD197" s="15"/>
    </row>
    <row r="198" spans="1:30" x14ac:dyDescent="0.25">
      <c r="A198" s="15"/>
      <c r="B198" s="15"/>
      <c r="C198" s="15"/>
      <c r="D198" s="15"/>
      <c r="E198" s="15"/>
      <c r="F198" s="15"/>
      <c r="H198" s="15"/>
      <c r="J198" s="15"/>
      <c r="L198" s="15"/>
      <c r="N198" s="15"/>
      <c r="P198" s="15"/>
      <c r="R198" s="15"/>
      <c r="T198" s="15"/>
      <c r="V198" s="15"/>
      <c r="X198" s="15"/>
      <c r="Z198" s="15"/>
      <c r="AB198" s="15"/>
      <c r="AD198" s="15"/>
    </row>
    <row r="199" spans="1:30" x14ac:dyDescent="0.25">
      <c r="A199" s="15"/>
      <c r="B199" s="15"/>
      <c r="C199" s="15"/>
      <c r="D199" s="15"/>
      <c r="E199" s="15"/>
      <c r="F199" s="15"/>
      <c r="H199" s="15"/>
      <c r="J199" s="15"/>
      <c r="L199" s="15"/>
      <c r="N199" s="15"/>
      <c r="P199" s="15"/>
      <c r="R199" s="15"/>
      <c r="T199" s="15"/>
      <c r="V199" s="15"/>
      <c r="X199" s="15"/>
      <c r="Z199" s="15"/>
      <c r="AB199" s="15"/>
      <c r="AD199" s="15"/>
    </row>
    <row r="200" spans="1:30" x14ac:dyDescent="0.25">
      <c r="A200" s="15"/>
      <c r="B200" s="15"/>
      <c r="C200" s="15"/>
      <c r="D200" s="15"/>
      <c r="E200" s="15"/>
      <c r="F200" s="15"/>
      <c r="H200" s="15"/>
      <c r="J200" s="15"/>
      <c r="L200" s="15"/>
      <c r="N200" s="15"/>
      <c r="P200" s="15"/>
      <c r="R200" s="15"/>
      <c r="T200" s="15"/>
      <c r="V200" s="15"/>
      <c r="X200" s="15"/>
      <c r="Z200" s="15"/>
      <c r="AB200" s="15"/>
      <c r="AD200" s="15"/>
    </row>
    <row r="201" spans="1:30" x14ac:dyDescent="0.25">
      <c r="A201" s="15"/>
      <c r="B201" s="15"/>
      <c r="C201" s="15"/>
      <c r="D201" s="15"/>
      <c r="E201" s="15"/>
      <c r="F201" s="15"/>
      <c r="H201" s="15"/>
      <c r="J201" s="15"/>
      <c r="L201" s="15"/>
      <c r="N201" s="15"/>
      <c r="P201" s="15"/>
      <c r="R201" s="15"/>
      <c r="T201" s="15"/>
      <c r="V201" s="15"/>
      <c r="X201" s="15"/>
      <c r="Z201" s="15"/>
      <c r="AB201" s="15"/>
      <c r="AD201" s="15"/>
    </row>
    <row r="202" spans="1:30" x14ac:dyDescent="0.25">
      <c r="A202" s="15"/>
      <c r="B202" s="15"/>
      <c r="C202" s="15"/>
      <c r="D202" s="15"/>
      <c r="E202" s="15"/>
      <c r="F202" s="15"/>
      <c r="H202" s="15"/>
      <c r="J202" s="15"/>
      <c r="L202" s="15"/>
      <c r="N202" s="15"/>
      <c r="P202" s="15"/>
      <c r="R202" s="15"/>
      <c r="T202" s="15"/>
      <c r="V202" s="15"/>
      <c r="X202" s="15"/>
      <c r="Z202" s="15"/>
      <c r="AB202" s="15"/>
      <c r="AD202" s="15"/>
    </row>
    <row r="203" spans="1:30" x14ac:dyDescent="0.25">
      <c r="A203" s="15"/>
      <c r="B203" s="15"/>
      <c r="C203" s="15"/>
      <c r="D203" s="15"/>
      <c r="E203" s="15"/>
      <c r="F203" s="15"/>
      <c r="H203" s="15"/>
      <c r="J203" s="15"/>
      <c r="L203" s="15"/>
      <c r="N203" s="15"/>
      <c r="P203" s="15"/>
      <c r="R203" s="15"/>
      <c r="T203" s="15"/>
      <c r="V203" s="15"/>
      <c r="X203" s="15"/>
      <c r="Z203" s="15"/>
      <c r="AB203" s="15"/>
      <c r="AD203" s="15"/>
    </row>
    <row r="204" spans="1:30" x14ac:dyDescent="0.25">
      <c r="A204" s="15"/>
      <c r="B204" s="15"/>
      <c r="C204" s="15"/>
      <c r="D204" s="15"/>
      <c r="E204" s="15"/>
      <c r="F204" s="15"/>
      <c r="H204" s="15"/>
      <c r="J204" s="15"/>
      <c r="L204" s="15"/>
      <c r="N204" s="15"/>
      <c r="P204" s="15"/>
      <c r="R204" s="15"/>
      <c r="T204" s="15"/>
      <c r="V204" s="15"/>
      <c r="X204" s="15"/>
      <c r="Z204" s="15"/>
      <c r="AB204" s="15"/>
      <c r="AD204" s="15"/>
    </row>
    <row r="205" spans="1:30" x14ac:dyDescent="0.25">
      <c r="A205" s="15"/>
      <c r="B205" s="15"/>
      <c r="C205" s="15"/>
      <c r="D205" s="15"/>
      <c r="E205" s="15"/>
      <c r="F205" s="15"/>
      <c r="H205" s="15"/>
      <c r="J205" s="15"/>
      <c r="L205" s="15"/>
      <c r="N205" s="15"/>
      <c r="P205" s="15"/>
      <c r="R205" s="15"/>
      <c r="T205" s="15"/>
      <c r="V205" s="15"/>
      <c r="X205" s="15"/>
      <c r="Z205" s="15"/>
      <c r="AB205" s="15"/>
      <c r="AD205" s="15"/>
    </row>
    <row r="206" spans="1:30" x14ac:dyDescent="0.25">
      <c r="A206" s="15"/>
      <c r="B206" s="15"/>
      <c r="C206" s="15"/>
      <c r="D206" s="15"/>
      <c r="E206" s="15"/>
      <c r="F206" s="15"/>
      <c r="H206" s="15"/>
      <c r="J206" s="15"/>
      <c r="L206" s="15"/>
      <c r="N206" s="15"/>
      <c r="P206" s="15"/>
      <c r="R206" s="15"/>
      <c r="T206" s="15"/>
      <c r="V206" s="15"/>
      <c r="X206" s="15"/>
      <c r="Z206" s="15"/>
      <c r="AB206" s="15"/>
      <c r="AD206" s="15"/>
    </row>
    <row r="207" spans="1:30" x14ac:dyDescent="0.25">
      <c r="A207" s="15"/>
      <c r="B207" s="15"/>
      <c r="C207" s="15"/>
      <c r="D207" s="15"/>
      <c r="E207" s="15"/>
      <c r="F207" s="15"/>
      <c r="H207" s="15"/>
      <c r="J207" s="15"/>
      <c r="L207" s="15"/>
      <c r="N207" s="15"/>
      <c r="P207" s="15"/>
      <c r="R207" s="15"/>
      <c r="T207" s="15"/>
      <c r="V207" s="15"/>
      <c r="X207" s="15"/>
      <c r="Z207" s="15"/>
      <c r="AB207" s="15"/>
      <c r="AD207" s="15"/>
    </row>
    <row r="208" spans="1:30" x14ac:dyDescent="0.25">
      <c r="A208" s="15"/>
      <c r="B208" s="15"/>
      <c r="C208" s="15"/>
      <c r="D208" s="15"/>
      <c r="E208" s="15"/>
      <c r="F208" s="15"/>
      <c r="H208" s="15"/>
      <c r="J208" s="15"/>
      <c r="L208" s="15"/>
      <c r="N208" s="15"/>
      <c r="P208" s="15"/>
      <c r="R208" s="15"/>
      <c r="T208" s="15"/>
      <c r="V208" s="15"/>
      <c r="X208" s="15"/>
      <c r="Z208" s="15"/>
      <c r="AB208" s="15"/>
      <c r="AD208" s="15"/>
    </row>
    <row r="209" spans="1:30" x14ac:dyDescent="0.25">
      <c r="A209" s="15"/>
      <c r="B209" s="15"/>
      <c r="C209" s="15"/>
      <c r="D209" s="15"/>
      <c r="E209" s="15"/>
      <c r="F209" s="15"/>
      <c r="H209" s="15"/>
      <c r="J209" s="15"/>
      <c r="L209" s="15"/>
      <c r="N209" s="15"/>
      <c r="P209" s="15"/>
      <c r="R209" s="15"/>
      <c r="T209" s="15"/>
      <c r="V209" s="15"/>
      <c r="X209" s="15"/>
      <c r="Z209" s="15"/>
      <c r="AB209" s="15"/>
      <c r="AD209" s="15"/>
    </row>
    <row r="210" spans="1:30" x14ac:dyDescent="0.25">
      <c r="A210" s="15"/>
      <c r="B210" s="15"/>
      <c r="C210" s="15"/>
      <c r="D210" s="15"/>
      <c r="E210" s="15"/>
      <c r="F210" s="15"/>
      <c r="H210" s="15"/>
      <c r="J210" s="15"/>
      <c r="L210" s="15"/>
      <c r="N210" s="15"/>
      <c r="P210" s="15"/>
      <c r="R210" s="15"/>
      <c r="T210" s="15"/>
      <c r="V210" s="15"/>
      <c r="X210" s="15"/>
      <c r="Z210" s="15"/>
      <c r="AB210" s="15"/>
      <c r="AD210" s="15"/>
    </row>
  </sheetData>
  <pageMargins left="0.7" right="0.7" top="0.75" bottom="0.75" header="0.3" footer="0.3"/>
  <pageSetup paperSize="9" orientation="portrait" r:id="rId1"/>
  <ignoredErrors>
    <ignoredError sqref="K5:K133 M6:M133 O7:O133 S9:S133 Q8:Q133 U10 U11:U133 W11:W133 Y12:Y133 AA13:AA133 AC14:AC133 AE15:AE133 AG17:AG133 AI17:AI133" formula="1"/>
  </ignoredErrors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Sheet1!G136:AI136</xm:f>
              <xm:sqref>K141</xm:sqref>
            </x14:sparkline>
            <x14:sparkline>
              <xm:f>Sheet1!G137:AI137</xm:f>
              <xm:sqref>I142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2"/>
  <sheetViews>
    <sheetView topLeftCell="A90" workbookViewId="0">
      <selection activeCell="K15" sqref="K15"/>
    </sheetView>
  </sheetViews>
  <sheetFormatPr defaultRowHeight="13.2" x14ac:dyDescent="0.25"/>
  <cols>
    <col min="1" max="1" width="10.33203125" customWidth="1"/>
    <col min="2" max="2" width="10.109375" customWidth="1"/>
    <col min="3" max="3" width="7.109375" customWidth="1"/>
    <col min="4" max="5" width="6.6640625" customWidth="1"/>
    <col min="6" max="6" width="8.33203125" customWidth="1"/>
    <col min="7" max="7" width="6.6640625" customWidth="1"/>
  </cols>
  <sheetData>
    <row r="1" spans="1:12" x14ac:dyDescent="0.25">
      <c r="A1" s="17" t="s">
        <v>14</v>
      </c>
      <c r="B1" s="17" t="s">
        <v>13</v>
      </c>
      <c r="C1" s="18" t="s">
        <v>26</v>
      </c>
      <c r="D1" s="18" t="s">
        <v>29</v>
      </c>
      <c r="E1" s="18" t="s">
        <v>30</v>
      </c>
      <c r="F1" s="18" t="s">
        <v>31</v>
      </c>
      <c r="G1" s="18" t="s">
        <v>32</v>
      </c>
      <c r="L1" t="s">
        <v>93</v>
      </c>
    </row>
    <row r="2" spans="1:12" x14ac:dyDescent="0.25">
      <c r="A2" s="16">
        <v>0</v>
      </c>
      <c r="B2" s="17"/>
      <c r="C2" s="14">
        <f>AVERAGE(B3:B5)</f>
        <v>172</v>
      </c>
    </row>
    <row r="3" spans="1:12" x14ac:dyDescent="0.25">
      <c r="A3" s="15">
        <v>1</v>
      </c>
      <c r="B3" s="15">
        <v>233</v>
      </c>
      <c r="C3">
        <f>(B2*B$141)+(1-B$141)*C2</f>
        <v>154.80000000000001</v>
      </c>
      <c r="D3">
        <f>B3-C3</f>
        <v>78.199999999999989</v>
      </c>
      <c r="E3">
        <f t="shared" ref="E3:E66" si="0">ABS(D3)</f>
        <v>78.199999999999989</v>
      </c>
      <c r="F3">
        <f t="shared" ref="F3:F66" si="1">D3^2</f>
        <v>6115.239999999998</v>
      </c>
      <c r="G3">
        <f>(E3/B3)*100</f>
        <v>33.562231759656648</v>
      </c>
    </row>
    <row r="4" spans="1:12" x14ac:dyDescent="0.25">
      <c r="A4" s="15">
        <v>2</v>
      </c>
      <c r="B4" s="15">
        <v>106</v>
      </c>
      <c r="C4">
        <f>(B3*B$141)+(1-B$141)*C3</f>
        <v>162.62000000000003</v>
      </c>
      <c r="D4">
        <f t="shared" ref="D4:D67" si="2">B4-C4</f>
        <v>-56.620000000000033</v>
      </c>
      <c r="E4">
        <f t="shared" si="0"/>
        <v>56.620000000000033</v>
      </c>
      <c r="F4">
        <f t="shared" si="1"/>
        <v>3205.8244000000036</v>
      </c>
      <c r="G4">
        <f t="shared" ref="G4:G67" si="3">(E4/B4)*100</f>
        <v>53.415094339622669</v>
      </c>
    </row>
    <row r="5" spans="1:12" x14ac:dyDescent="0.25">
      <c r="A5" s="15">
        <v>3</v>
      </c>
      <c r="B5" s="15">
        <v>177</v>
      </c>
      <c r="C5">
        <f t="shared" ref="C5:C68" si="4">(B4*B$141)+(1-B$141)*C4</f>
        <v>156.95800000000003</v>
      </c>
      <c r="D5">
        <f t="shared" si="2"/>
        <v>20.041999999999973</v>
      </c>
      <c r="E5">
        <f t="shared" si="0"/>
        <v>20.041999999999973</v>
      </c>
      <c r="F5">
        <f t="shared" si="1"/>
        <v>401.68176399999891</v>
      </c>
      <c r="G5">
        <f t="shared" si="3"/>
        <v>11.323163841807894</v>
      </c>
    </row>
    <row r="6" spans="1:12" x14ac:dyDescent="0.25">
      <c r="A6" s="15">
        <v>4</v>
      </c>
      <c r="B6" s="15">
        <v>175</v>
      </c>
      <c r="C6">
        <f t="shared" si="4"/>
        <v>158.96220000000002</v>
      </c>
      <c r="D6">
        <f t="shared" si="2"/>
        <v>16.037799999999976</v>
      </c>
      <c r="E6">
        <f t="shared" si="0"/>
        <v>16.037799999999976</v>
      </c>
      <c r="F6">
        <f t="shared" si="1"/>
        <v>257.21102883999924</v>
      </c>
      <c r="G6">
        <f t="shared" si="3"/>
        <v>9.1644571428571275</v>
      </c>
    </row>
    <row r="7" spans="1:12" x14ac:dyDescent="0.25">
      <c r="A7" s="15">
        <v>5</v>
      </c>
      <c r="B7" s="15">
        <v>178</v>
      </c>
      <c r="C7">
        <f t="shared" si="4"/>
        <v>160.56598000000002</v>
      </c>
      <c r="D7">
        <f t="shared" si="2"/>
        <v>17.434019999999975</v>
      </c>
      <c r="E7">
        <f t="shared" si="0"/>
        <v>17.434019999999975</v>
      </c>
      <c r="F7">
        <f t="shared" si="1"/>
        <v>303.94505336039913</v>
      </c>
      <c r="G7">
        <f t="shared" si="3"/>
        <v>9.7943932584269522</v>
      </c>
    </row>
    <row r="8" spans="1:12" x14ac:dyDescent="0.25">
      <c r="A8" s="15">
        <v>6</v>
      </c>
      <c r="B8" s="15">
        <v>170</v>
      </c>
      <c r="C8">
        <f t="shared" si="4"/>
        <v>162.30938200000003</v>
      </c>
      <c r="D8">
        <f t="shared" si="2"/>
        <v>7.6906179999999722</v>
      </c>
      <c r="E8">
        <f t="shared" si="0"/>
        <v>7.6906179999999722</v>
      </c>
      <c r="F8">
        <f t="shared" si="1"/>
        <v>59.145605221923574</v>
      </c>
      <c r="G8">
        <f t="shared" si="3"/>
        <v>4.5238929411764541</v>
      </c>
    </row>
    <row r="9" spans="1:12" x14ac:dyDescent="0.25">
      <c r="A9" s="15">
        <v>7</v>
      </c>
      <c r="B9" s="15">
        <v>199</v>
      </c>
      <c r="C9">
        <f t="shared" si="4"/>
        <v>163.07844380000003</v>
      </c>
      <c r="D9">
        <f t="shared" si="2"/>
        <v>35.921556199999969</v>
      </c>
      <c r="E9">
        <f t="shared" si="0"/>
        <v>35.921556199999969</v>
      </c>
      <c r="F9">
        <f t="shared" si="1"/>
        <v>1290.3581998297561</v>
      </c>
      <c r="G9">
        <f t="shared" si="3"/>
        <v>18.051033266331643</v>
      </c>
    </row>
    <row r="10" spans="1:12" x14ac:dyDescent="0.25">
      <c r="A10" s="15">
        <v>8</v>
      </c>
      <c r="B10" s="15">
        <v>117</v>
      </c>
      <c r="C10">
        <f t="shared" si="4"/>
        <v>166.67059942000003</v>
      </c>
      <c r="D10">
        <f t="shared" si="2"/>
        <v>-49.67059942000003</v>
      </c>
      <c r="E10">
        <f t="shared" si="0"/>
        <v>49.67059942000003</v>
      </c>
      <c r="F10">
        <f t="shared" si="1"/>
        <v>2467.1684467421073</v>
      </c>
      <c r="G10">
        <f t="shared" si="3"/>
        <v>42.453503777777804</v>
      </c>
    </row>
    <row r="11" spans="1:12" x14ac:dyDescent="0.25">
      <c r="A11" s="15">
        <v>9</v>
      </c>
      <c r="B11" s="15">
        <v>122</v>
      </c>
      <c r="C11">
        <f t="shared" si="4"/>
        <v>161.70353947800001</v>
      </c>
      <c r="D11">
        <f t="shared" si="2"/>
        <v>-39.70353947800001</v>
      </c>
      <c r="E11">
        <f t="shared" si="0"/>
        <v>39.70353947800001</v>
      </c>
      <c r="F11">
        <f t="shared" si="1"/>
        <v>1576.3710470811054</v>
      </c>
      <c r="G11">
        <f t="shared" si="3"/>
        <v>32.543884818032801</v>
      </c>
    </row>
    <row r="12" spans="1:12" x14ac:dyDescent="0.25">
      <c r="A12" s="15">
        <v>10</v>
      </c>
      <c r="B12" s="15">
        <v>136</v>
      </c>
      <c r="C12">
        <f t="shared" si="4"/>
        <v>157.73318553019999</v>
      </c>
      <c r="D12">
        <f t="shared" si="2"/>
        <v>-21.733185530199989</v>
      </c>
      <c r="E12">
        <f t="shared" si="0"/>
        <v>21.733185530199989</v>
      </c>
      <c r="F12">
        <f t="shared" si="1"/>
        <v>472.33135329009417</v>
      </c>
      <c r="G12">
        <f t="shared" si="3"/>
        <v>15.980283478088229</v>
      </c>
    </row>
    <row r="13" spans="1:12" x14ac:dyDescent="0.25">
      <c r="A13" s="15">
        <v>11</v>
      </c>
      <c r="B13" s="15">
        <v>130</v>
      </c>
      <c r="C13">
        <f t="shared" si="4"/>
        <v>155.55986697717998</v>
      </c>
      <c r="D13">
        <f t="shared" si="2"/>
        <v>-25.559866977179979</v>
      </c>
      <c r="E13">
        <f t="shared" si="0"/>
        <v>25.559866977179979</v>
      </c>
      <c r="F13">
        <f t="shared" si="1"/>
        <v>653.3067998911356</v>
      </c>
      <c r="G13">
        <f t="shared" si="3"/>
        <v>19.661436136292291</v>
      </c>
    </row>
    <row r="14" spans="1:12" x14ac:dyDescent="0.25">
      <c r="A14" s="15">
        <v>12</v>
      </c>
      <c r="B14" s="15">
        <v>68</v>
      </c>
      <c r="C14">
        <f t="shared" si="4"/>
        <v>153.00388027946198</v>
      </c>
      <c r="D14">
        <f t="shared" si="2"/>
        <v>-85.003880279461981</v>
      </c>
      <c r="E14">
        <f t="shared" si="0"/>
        <v>85.003880279461981</v>
      </c>
      <c r="F14">
        <f t="shared" si="1"/>
        <v>7225.6596625651055</v>
      </c>
      <c r="G14">
        <f t="shared" si="3"/>
        <v>125.00570629332644</v>
      </c>
    </row>
    <row r="15" spans="1:12" x14ac:dyDescent="0.25">
      <c r="A15" s="15">
        <v>1</v>
      </c>
      <c r="B15" s="15">
        <v>179</v>
      </c>
      <c r="C15">
        <f t="shared" si="4"/>
        <v>144.50349225151581</v>
      </c>
      <c r="D15">
        <f t="shared" si="2"/>
        <v>34.496507748484191</v>
      </c>
      <c r="E15">
        <f t="shared" si="0"/>
        <v>34.496507748484191</v>
      </c>
      <c r="F15">
        <f t="shared" si="1"/>
        <v>1190.0090468412297</v>
      </c>
      <c r="G15">
        <f t="shared" si="3"/>
        <v>19.271792038259324</v>
      </c>
    </row>
    <row r="16" spans="1:12" x14ac:dyDescent="0.25">
      <c r="A16" s="15">
        <v>2</v>
      </c>
      <c r="B16" s="15">
        <v>104</v>
      </c>
      <c r="C16">
        <f t="shared" si="4"/>
        <v>147.95314302636424</v>
      </c>
      <c r="D16">
        <f t="shared" si="2"/>
        <v>-43.953143026364245</v>
      </c>
      <c r="E16">
        <f t="shared" si="0"/>
        <v>43.953143026364245</v>
      </c>
      <c r="F16">
        <f t="shared" si="1"/>
        <v>1931.8787818960318</v>
      </c>
      <c r="G16">
        <f t="shared" si="3"/>
        <v>42.262637525350236</v>
      </c>
    </row>
    <row r="17" spans="1:7" x14ac:dyDescent="0.25">
      <c r="A17" s="15">
        <v>3</v>
      </c>
      <c r="B17" s="15">
        <v>133</v>
      </c>
      <c r="C17">
        <f t="shared" si="4"/>
        <v>143.55782872372782</v>
      </c>
      <c r="D17">
        <f t="shared" si="2"/>
        <v>-10.557828723727823</v>
      </c>
      <c r="E17">
        <f t="shared" si="0"/>
        <v>10.557828723727823</v>
      </c>
      <c r="F17">
        <f t="shared" si="1"/>
        <v>111.46774735957227</v>
      </c>
      <c r="G17">
        <f t="shared" si="3"/>
        <v>7.938217085509641</v>
      </c>
    </row>
    <row r="18" spans="1:7" x14ac:dyDescent="0.25">
      <c r="A18" s="15">
        <v>4</v>
      </c>
      <c r="B18" s="15">
        <v>163</v>
      </c>
      <c r="C18">
        <f t="shared" si="4"/>
        <v>142.50204585135506</v>
      </c>
      <c r="D18">
        <f t="shared" si="2"/>
        <v>20.497954148644936</v>
      </c>
      <c r="E18">
        <f t="shared" si="0"/>
        <v>20.497954148644936</v>
      </c>
      <c r="F18">
        <f t="shared" si="1"/>
        <v>420.16612427995017</v>
      </c>
      <c r="G18">
        <f t="shared" si="3"/>
        <v>12.575431993033703</v>
      </c>
    </row>
    <row r="19" spans="1:7" x14ac:dyDescent="0.25">
      <c r="A19" s="15">
        <v>5</v>
      </c>
      <c r="B19" s="15">
        <v>175</v>
      </c>
      <c r="C19">
        <f t="shared" si="4"/>
        <v>144.55184126621958</v>
      </c>
      <c r="D19">
        <f t="shared" si="2"/>
        <v>30.448158733780417</v>
      </c>
      <c r="E19">
        <f t="shared" si="0"/>
        <v>30.448158733780417</v>
      </c>
      <c r="F19">
        <f t="shared" si="1"/>
        <v>927.09037027748866</v>
      </c>
      <c r="G19">
        <f t="shared" si="3"/>
        <v>17.398947847874524</v>
      </c>
    </row>
    <row r="20" spans="1:7" x14ac:dyDescent="0.25">
      <c r="A20" s="15">
        <v>6</v>
      </c>
      <c r="B20" s="15">
        <v>163</v>
      </c>
      <c r="C20">
        <f t="shared" si="4"/>
        <v>147.59665713959762</v>
      </c>
      <c r="D20">
        <f t="shared" si="2"/>
        <v>15.403342860402375</v>
      </c>
      <c r="E20">
        <f t="shared" si="0"/>
        <v>15.403342860402375</v>
      </c>
      <c r="F20">
        <f t="shared" si="1"/>
        <v>237.26297127510884</v>
      </c>
      <c r="G20">
        <f t="shared" si="3"/>
        <v>9.4499035953388812</v>
      </c>
    </row>
    <row r="21" spans="1:7" x14ac:dyDescent="0.25">
      <c r="A21" s="15">
        <v>7</v>
      </c>
      <c r="B21" s="15">
        <v>156</v>
      </c>
      <c r="C21">
        <f t="shared" si="4"/>
        <v>149.13699142563789</v>
      </c>
      <c r="D21">
        <f t="shared" si="2"/>
        <v>6.8630085743621123</v>
      </c>
      <c r="E21">
        <f t="shared" si="0"/>
        <v>6.8630085743621123</v>
      </c>
      <c r="F21">
        <f t="shared" si="1"/>
        <v>47.100886691767876</v>
      </c>
      <c r="G21">
        <f t="shared" si="3"/>
        <v>4.3993644707449437</v>
      </c>
    </row>
    <row r="22" spans="1:7" x14ac:dyDescent="0.25">
      <c r="A22" s="15">
        <v>8</v>
      </c>
      <c r="B22" s="15">
        <v>123</v>
      </c>
      <c r="C22">
        <f t="shared" si="4"/>
        <v>149.8232922830741</v>
      </c>
      <c r="D22">
        <f t="shared" si="2"/>
        <v>-26.823292283074096</v>
      </c>
      <c r="E22">
        <f t="shared" si="0"/>
        <v>26.823292283074096</v>
      </c>
      <c r="F22">
        <f t="shared" si="1"/>
        <v>719.48900890322238</v>
      </c>
      <c r="G22">
        <f t="shared" si="3"/>
        <v>21.807554701686257</v>
      </c>
    </row>
    <row r="23" spans="1:7" x14ac:dyDescent="0.25">
      <c r="A23" s="15">
        <v>9</v>
      </c>
      <c r="B23" s="15">
        <v>145</v>
      </c>
      <c r="C23">
        <f t="shared" si="4"/>
        <v>147.1409630547667</v>
      </c>
      <c r="D23">
        <f t="shared" si="2"/>
        <v>-2.1409630547667007</v>
      </c>
      <c r="E23">
        <f t="shared" si="0"/>
        <v>2.1409630547667007</v>
      </c>
      <c r="F23">
        <f t="shared" si="1"/>
        <v>4.5837228018759628</v>
      </c>
      <c r="G23">
        <f t="shared" si="3"/>
        <v>1.47652624466669</v>
      </c>
    </row>
    <row r="24" spans="1:7" x14ac:dyDescent="0.25">
      <c r="A24" s="15">
        <v>10</v>
      </c>
      <c r="B24" s="15">
        <v>197</v>
      </c>
      <c r="C24">
        <f t="shared" si="4"/>
        <v>146.92686674929004</v>
      </c>
      <c r="D24">
        <f t="shared" si="2"/>
        <v>50.073133250709958</v>
      </c>
      <c r="E24">
        <f t="shared" si="0"/>
        <v>50.073133250709958</v>
      </c>
      <c r="F24">
        <f t="shared" si="1"/>
        <v>2507.3186735433551</v>
      </c>
      <c r="G24">
        <f t="shared" si="3"/>
        <v>25.417834137416222</v>
      </c>
    </row>
    <row r="25" spans="1:7" x14ac:dyDescent="0.25">
      <c r="A25" s="15">
        <v>11</v>
      </c>
      <c r="B25" s="15">
        <v>187</v>
      </c>
      <c r="C25">
        <f t="shared" si="4"/>
        <v>151.93418007436105</v>
      </c>
      <c r="D25">
        <f t="shared" si="2"/>
        <v>35.065819925638948</v>
      </c>
      <c r="E25">
        <f t="shared" si="0"/>
        <v>35.065819925638948</v>
      </c>
      <c r="F25">
        <f t="shared" si="1"/>
        <v>1229.6117270573375</v>
      </c>
      <c r="G25">
        <f t="shared" si="3"/>
        <v>18.751775361304251</v>
      </c>
    </row>
    <row r="26" spans="1:7" x14ac:dyDescent="0.25">
      <c r="A26" s="15">
        <v>12</v>
      </c>
      <c r="B26" s="15">
        <v>139</v>
      </c>
      <c r="C26">
        <f t="shared" si="4"/>
        <v>155.44076206692495</v>
      </c>
      <c r="D26">
        <f t="shared" si="2"/>
        <v>-16.440762066924947</v>
      </c>
      <c r="E26">
        <f t="shared" si="0"/>
        <v>16.440762066924947</v>
      </c>
      <c r="F26">
        <f t="shared" si="1"/>
        <v>270.29865734123825</v>
      </c>
      <c r="G26">
        <f t="shared" si="3"/>
        <v>11.827886379082695</v>
      </c>
    </row>
    <row r="27" spans="1:7" x14ac:dyDescent="0.25">
      <c r="A27" s="15">
        <v>1</v>
      </c>
      <c r="B27" s="15">
        <v>293</v>
      </c>
      <c r="C27">
        <f t="shared" si="4"/>
        <v>153.79668586023246</v>
      </c>
      <c r="D27">
        <f t="shared" si="2"/>
        <v>139.20331413976754</v>
      </c>
      <c r="E27">
        <f t="shared" si="0"/>
        <v>139.20331413976754</v>
      </c>
      <c r="F27">
        <f t="shared" si="1"/>
        <v>19377.562667494807</v>
      </c>
      <c r="G27">
        <f t="shared" si="3"/>
        <v>47.509663528930901</v>
      </c>
    </row>
    <row r="28" spans="1:7" x14ac:dyDescent="0.25">
      <c r="A28" s="15">
        <v>2</v>
      </c>
      <c r="B28" s="15">
        <v>157</v>
      </c>
      <c r="C28">
        <f t="shared" si="4"/>
        <v>167.71701727420924</v>
      </c>
      <c r="D28">
        <f t="shared" si="2"/>
        <v>-10.71701727420924</v>
      </c>
      <c r="E28">
        <f t="shared" si="0"/>
        <v>10.71701727420924</v>
      </c>
      <c r="F28">
        <f t="shared" si="1"/>
        <v>114.85445925569925</v>
      </c>
      <c r="G28">
        <f t="shared" si="3"/>
        <v>6.8261256523625731</v>
      </c>
    </row>
    <row r="29" spans="1:7" x14ac:dyDescent="0.25">
      <c r="A29" s="15">
        <v>3</v>
      </c>
      <c r="B29" s="15">
        <v>168</v>
      </c>
      <c r="C29">
        <f t="shared" si="4"/>
        <v>166.64531554678831</v>
      </c>
      <c r="D29">
        <f t="shared" si="2"/>
        <v>1.3546844532116893</v>
      </c>
      <c r="E29">
        <f t="shared" si="0"/>
        <v>1.3546844532116893</v>
      </c>
      <c r="F29">
        <f t="shared" si="1"/>
        <v>1.8351699677734536</v>
      </c>
      <c r="G29">
        <f t="shared" si="3"/>
        <v>0.80635979357838639</v>
      </c>
    </row>
    <row r="30" spans="1:7" x14ac:dyDescent="0.25">
      <c r="A30" s="15">
        <v>4</v>
      </c>
      <c r="B30" s="15">
        <v>174</v>
      </c>
      <c r="C30">
        <f t="shared" si="4"/>
        <v>166.78078399210949</v>
      </c>
      <c r="D30">
        <f t="shared" si="2"/>
        <v>7.219216007890509</v>
      </c>
      <c r="E30">
        <f t="shared" si="0"/>
        <v>7.219216007890509</v>
      </c>
      <c r="F30">
        <f t="shared" si="1"/>
        <v>52.117079768582578</v>
      </c>
      <c r="G30">
        <f t="shared" si="3"/>
        <v>4.1489747171784535</v>
      </c>
    </row>
    <row r="31" spans="1:7" x14ac:dyDescent="0.25">
      <c r="A31" s="15">
        <v>5</v>
      </c>
      <c r="B31" s="15">
        <v>342</v>
      </c>
      <c r="C31">
        <f t="shared" si="4"/>
        <v>167.50270559289856</v>
      </c>
      <c r="D31">
        <f t="shared" si="2"/>
        <v>174.49729440710144</v>
      </c>
      <c r="E31">
        <f t="shared" si="0"/>
        <v>174.49729440710144</v>
      </c>
      <c r="F31">
        <f t="shared" si="1"/>
        <v>30449.305755398633</v>
      </c>
      <c r="G31">
        <f t="shared" si="3"/>
        <v>51.022600703830832</v>
      </c>
    </row>
    <row r="32" spans="1:7" x14ac:dyDescent="0.25">
      <c r="A32" s="15">
        <v>6</v>
      </c>
      <c r="B32" s="15">
        <v>227</v>
      </c>
      <c r="C32">
        <f t="shared" si="4"/>
        <v>184.95243503360871</v>
      </c>
      <c r="D32">
        <f t="shared" si="2"/>
        <v>42.047564966391292</v>
      </c>
      <c r="E32">
        <f t="shared" si="0"/>
        <v>42.047564966391292</v>
      </c>
      <c r="F32">
        <f t="shared" si="1"/>
        <v>1767.9977196028963</v>
      </c>
      <c r="G32">
        <f t="shared" si="3"/>
        <v>18.523156372859599</v>
      </c>
    </row>
    <row r="33" spans="1:7" x14ac:dyDescent="0.25">
      <c r="A33" s="15">
        <v>7</v>
      </c>
      <c r="B33" s="15">
        <v>207</v>
      </c>
      <c r="C33">
        <f t="shared" si="4"/>
        <v>189.15719153024787</v>
      </c>
      <c r="D33">
        <f t="shared" si="2"/>
        <v>17.842808469752129</v>
      </c>
      <c r="E33">
        <f t="shared" si="0"/>
        <v>17.842808469752129</v>
      </c>
      <c r="F33">
        <f t="shared" si="1"/>
        <v>318.36581408825828</v>
      </c>
      <c r="G33">
        <f t="shared" si="3"/>
        <v>8.6197142365952306</v>
      </c>
    </row>
    <row r="34" spans="1:7" x14ac:dyDescent="0.25">
      <c r="A34" s="15">
        <v>8</v>
      </c>
      <c r="B34" s="15">
        <v>150</v>
      </c>
      <c r="C34">
        <f t="shared" si="4"/>
        <v>190.94147237722308</v>
      </c>
      <c r="D34">
        <f t="shared" si="2"/>
        <v>-40.941472377223079</v>
      </c>
      <c r="E34">
        <f t="shared" si="0"/>
        <v>40.941472377223079</v>
      </c>
      <c r="F34">
        <f t="shared" si="1"/>
        <v>1676.2041604149204</v>
      </c>
      <c r="G34">
        <f t="shared" si="3"/>
        <v>27.294314918148721</v>
      </c>
    </row>
    <row r="35" spans="1:7" x14ac:dyDescent="0.25">
      <c r="A35" s="15">
        <v>9</v>
      </c>
      <c r="B35" s="15">
        <v>171</v>
      </c>
      <c r="C35">
        <f t="shared" si="4"/>
        <v>186.84732513950078</v>
      </c>
      <c r="D35">
        <f t="shared" si="2"/>
        <v>-15.847325139500782</v>
      </c>
      <c r="E35">
        <f t="shared" si="0"/>
        <v>15.847325139500782</v>
      </c>
      <c r="F35">
        <f t="shared" si="1"/>
        <v>251.13771407705349</v>
      </c>
      <c r="G35">
        <f t="shared" si="3"/>
        <v>9.2674416020472403</v>
      </c>
    </row>
    <row r="36" spans="1:7" x14ac:dyDescent="0.25">
      <c r="A36" s="15">
        <v>10</v>
      </c>
      <c r="B36" s="15">
        <v>217</v>
      </c>
      <c r="C36">
        <f t="shared" si="4"/>
        <v>185.2625926255507</v>
      </c>
      <c r="D36">
        <f t="shared" si="2"/>
        <v>31.737407374449305</v>
      </c>
      <c r="E36">
        <f t="shared" si="0"/>
        <v>31.737407374449305</v>
      </c>
      <c r="F36">
        <f t="shared" si="1"/>
        <v>1007.2630268517491</v>
      </c>
      <c r="G36">
        <f t="shared" si="3"/>
        <v>14.625533352280787</v>
      </c>
    </row>
    <row r="37" spans="1:7" x14ac:dyDescent="0.25">
      <c r="A37" s="15">
        <v>11</v>
      </c>
      <c r="B37" s="15">
        <v>149</v>
      </c>
      <c r="C37">
        <f t="shared" si="4"/>
        <v>188.43633336299564</v>
      </c>
      <c r="D37">
        <f t="shared" si="2"/>
        <v>-39.43633336299564</v>
      </c>
      <c r="E37">
        <f t="shared" si="0"/>
        <v>39.43633336299564</v>
      </c>
      <c r="F37">
        <f t="shared" si="1"/>
        <v>1555.224389117323</v>
      </c>
      <c r="G37">
        <f t="shared" si="3"/>
        <v>26.467337827513855</v>
      </c>
    </row>
    <row r="38" spans="1:7" x14ac:dyDescent="0.25">
      <c r="A38" s="15">
        <v>12</v>
      </c>
      <c r="B38" s="15">
        <v>178</v>
      </c>
      <c r="C38">
        <f t="shared" si="4"/>
        <v>184.4927000266961</v>
      </c>
      <c r="D38">
        <f t="shared" si="2"/>
        <v>-6.4927000266960988</v>
      </c>
      <c r="E38">
        <f t="shared" si="0"/>
        <v>6.4927000266960988</v>
      </c>
      <c r="F38">
        <f t="shared" si="1"/>
        <v>42.15515363665952</v>
      </c>
      <c r="G38">
        <f t="shared" si="3"/>
        <v>3.6475842846607298</v>
      </c>
    </row>
    <row r="39" spans="1:7" x14ac:dyDescent="0.25">
      <c r="A39" s="15">
        <v>1</v>
      </c>
      <c r="B39" s="15">
        <v>223</v>
      </c>
      <c r="C39">
        <f t="shared" si="4"/>
        <v>183.8434300240265</v>
      </c>
      <c r="D39">
        <f t="shared" si="2"/>
        <v>39.156569975973497</v>
      </c>
      <c r="E39">
        <f t="shared" si="0"/>
        <v>39.156569975973497</v>
      </c>
      <c r="F39">
        <f t="shared" si="1"/>
        <v>1533.2369722833091</v>
      </c>
      <c r="G39">
        <f t="shared" si="3"/>
        <v>17.558999989225782</v>
      </c>
    </row>
    <row r="40" spans="1:7" x14ac:dyDescent="0.25">
      <c r="A40" s="15">
        <v>2</v>
      </c>
      <c r="B40" s="15">
        <v>159</v>
      </c>
      <c r="C40">
        <f t="shared" si="4"/>
        <v>187.75908702162386</v>
      </c>
      <c r="D40">
        <f t="shared" si="2"/>
        <v>-28.759087021623856</v>
      </c>
      <c r="E40">
        <f t="shared" si="0"/>
        <v>28.759087021623856</v>
      </c>
      <c r="F40">
        <f t="shared" si="1"/>
        <v>827.08508631733366</v>
      </c>
      <c r="G40">
        <f t="shared" si="3"/>
        <v>18.087476114228838</v>
      </c>
    </row>
    <row r="41" spans="1:7" x14ac:dyDescent="0.25">
      <c r="A41" s="15">
        <v>3</v>
      </c>
      <c r="B41" s="15">
        <v>310</v>
      </c>
      <c r="C41">
        <f t="shared" si="4"/>
        <v>184.88317831946148</v>
      </c>
      <c r="D41">
        <f t="shared" si="2"/>
        <v>125.11682168053852</v>
      </c>
      <c r="E41">
        <f t="shared" si="0"/>
        <v>125.11682168053852</v>
      </c>
      <c r="F41">
        <f t="shared" si="1"/>
        <v>15654.219067439673</v>
      </c>
      <c r="G41">
        <f t="shared" si="3"/>
        <v>40.360265058238234</v>
      </c>
    </row>
    <row r="42" spans="1:7" x14ac:dyDescent="0.25">
      <c r="A42" s="15">
        <v>4</v>
      </c>
      <c r="B42" s="15">
        <v>370</v>
      </c>
      <c r="C42">
        <f t="shared" si="4"/>
        <v>197.39486048751533</v>
      </c>
      <c r="D42">
        <f t="shared" si="2"/>
        <v>172.60513951248467</v>
      </c>
      <c r="E42">
        <f t="shared" si="0"/>
        <v>172.60513951248467</v>
      </c>
      <c r="F42">
        <f t="shared" si="1"/>
        <v>29792.534186124296</v>
      </c>
      <c r="G42">
        <f t="shared" si="3"/>
        <v>46.650037706076937</v>
      </c>
    </row>
    <row r="43" spans="1:7" x14ac:dyDescent="0.25">
      <c r="A43" s="15">
        <v>5</v>
      </c>
      <c r="B43" s="15">
        <v>282</v>
      </c>
      <c r="C43">
        <f t="shared" si="4"/>
        <v>214.6553744387638</v>
      </c>
      <c r="D43">
        <f t="shared" si="2"/>
        <v>67.344625561236199</v>
      </c>
      <c r="E43">
        <f t="shared" si="0"/>
        <v>67.344625561236199</v>
      </c>
      <c r="F43">
        <f t="shared" si="1"/>
        <v>4535.2985919831081</v>
      </c>
      <c r="G43">
        <f t="shared" si="3"/>
        <v>23.881072894055393</v>
      </c>
    </row>
    <row r="44" spans="1:7" x14ac:dyDescent="0.25">
      <c r="A44" s="15">
        <v>6</v>
      </c>
      <c r="B44" s="15">
        <v>225</v>
      </c>
      <c r="C44">
        <f t="shared" si="4"/>
        <v>221.38983699488745</v>
      </c>
      <c r="D44">
        <f t="shared" si="2"/>
        <v>3.6101630051125539</v>
      </c>
      <c r="E44">
        <f t="shared" si="0"/>
        <v>3.6101630051125539</v>
      </c>
      <c r="F44">
        <f t="shared" si="1"/>
        <v>13.033276923483307</v>
      </c>
      <c r="G44">
        <f t="shared" si="3"/>
        <v>1.6045168911611352</v>
      </c>
    </row>
    <row r="45" spans="1:7" x14ac:dyDescent="0.25">
      <c r="A45" s="15">
        <v>7</v>
      </c>
      <c r="B45" s="15">
        <v>216</v>
      </c>
      <c r="C45">
        <f t="shared" si="4"/>
        <v>221.75085329539871</v>
      </c>
      <c r="D45">
        <f t="shared" si="2"/>
        <v>-5.7508532953987128</v>
      </c>
      <c r="E45">
        <f t="shared" si="0"/>
        <v>5.7508532953987128</v>
      </c>
      <c r="F45">
        <f t="shared" si="1"/>
        <v>33.072313625198234</v>
      </c>
      <c r="G45">
        <f t="shared" si="3"/>
        <v>2.6624320812031077</v>
      </c>
    </row>
    <row r="46" spans="1:7" x14ac:dyDescent="0.25">
      <c r="A46" s="15">
        <v>8</v>
      </c>
      <c r="B46" s="15">
        <v>130</v>
      </c>
      <c r="C46">
        <f t="shared" si="4"/>
        <v>221.17576796585885</v>
      </c>
      <c r="D46">
        <f t="shared" si="2"/>
        <v>-91.175767965858853</v>
      </c>
      <c r="E46">
        <f t="shared" si="0"/>
        <v>91.175767965858853</v>
      </c>
      <c r="F46">
        <f t="shared" si="1"/>
        <v>8313.0206641641325</v>
      </c>
      <c r="G46">
        <f t="shared" si="3"/>
        <v>70.135206127583743</v>
      </c>
    </row>
    <row r="47" spans="1:7" x14ac:dyDescent="0.25">
      <c r="A47" s="15">
        <v>9</v>
      </c>
      <c r="B47" s="15">
        <v>206</v>
      </c>
      <c r="C47">
        <f t="shared" si="4"/>
        <v>212.05819116927296</v>
      </c>
      <c r="D47">
        <f t="shared" si="2"/>
        <v>-6.0581911692729591</v>
      </c>
      <c r="E47">
        <f t="shared" si="0"/>
        <v>6.0581911692729591</v>
      </c>
      <c r="F47">
        <f t="shared" si="1"/>
        <v>36.701680243456863</v>
      </c>
      <c r="G47">
        <f t="shared" si="3"/>
        <v>2.9408694996470675</v>
      </c>
    </row>
    <row r="48" spans="1:7" x14ac:dyDescent="0.25">
      <c r="A48" s="15">
        <v>10</v>
      </c>
      <c r="B48" s="15">
        <v>147</v>
      </c>
      <c r="C48">
        <f t="shared" si="4"/>
        <v>211.45237205234565</v>
      </c>
      <c r="D48">
        <f t="shared" si="2"/>
        <v>-64.452372052345652</v>
      </c>
      <c r="E48">
        <f t="shared" si="0"/>
        <v>64.452372052345652</v>
      </c>
      <c r="F48">
        <f t="shared" si="1"/>
        <v>4154.1082631739864</v>
      </c>
      <c r="G48">
        <f t="shared" si="3"/>
        <v>43.84515105601745</v>
      </c>
    </row>
    <row r="49" spans="1:7" x14ac:dyDescent="0.25">
      <c r="A49" s="15">
        <v>11</v>
      </c>
      <c r="B49" s="15">
        <v>197</v>
      </c>
      <c r="C49">
        <f t="shared" si="4"/>
        <v>205.00713484711108</v>
      </c>
      <c r="D49">
        <f t="shared" si="2"/>
        <v>-8.0071348471110753</v>
      </c>
      <c r="E49">
        <f t="shared" si="0"/>
        <v>8.0071348471110753</v>
      </c>
      <c r="F49">
        <f t="shared" si="1"/>
        <v>64.114208459820503</v>
      </c>
      <c r="G49">
        <f t="shared" si="3"/>
        <v>4.0645354553863324</v>
      </c>
    </row>
    <row r="50" spans="1:7" x14ac:dyDescent="0.25">
      <c r="A50" s="15">
        <v>12</v>
      </c>
      <c r="B50" s="15">
        <v>203</v>
      </c>
      <c r="C50">
        <f t="shared" si="4"/>
        <v>204.20642136239996</v>
      </c>
      <c r="D50">
        <f t="shared" si="2"/>
        <v>-1.2064213623999649</v>
      </c>
      <c r="E50">
        <f t="shared" si="0"/>
        <v>1.2064213623999649</v>
      </c>
      <c r="F50">
        <f t="shared" si="1"/>
        <v>1.4554525036549875</v>
      </c>
      <c r="G50">
        <f t="shared" si="3"/>
        <v>0.5942962376354507</v>
      </c>
    </row>
    <row r="51" spans="1:7" x14ac:dyDescent="0.25">
      <c r="A51" s="15">
        <v>1</v>
      </c>
      <c r="B51" s="15">
        <v>160</v>
      </c>
      <c r="C51">
        <f t="shared" si="4"/>
        <v>204.08577922615999</v>
      </c>
      <c r="D51">
        <f t="shared" si="2"/>
        <v>-44.085779226159985</v>
      </c>
      <c r="E51">
        <f t="shared" si="0"/>
        <v>44.085779226159985</v>
      </c>
      <c r="F51">
        <f t="shared" si="1"/>
        <v>1943.5559299777194</v>
      </c>
      <c r="G51">
        <f t="shared" si="3"/>
        <v>27.553612016349994</v>
      </c>
    </row>
    <row r="52" spans="1:7" x14ac:dyDescent="0.25">
      <c r="A52" s="15">
        <v>2</v>
      </c>
      <c r="B52" s="15">
        <v>181</v>
      </c>
      <c r="C52">
        <f t="shared" si="4"/>
        <v>199.677201303544</v>
      </c>
      <c r="D52">
        <f t="shared" si="2"/>
        <v>-18.677201303543995</v>
      </c>
      <c r="E52">
        <f t="shared" si="0"/>
        <v>18.677201303543995</v>
      </c>
      <c r="F52">
        <f t="shared" si="1"/>
        <v>348.8378485331055</v>
      </c>
      <c r="G52">
        <f t="shared" si="3"/>
        <v>10.318895747814363</v>
      </c>
    </row>
    <row r="53" spans="1:7" x14ac:dyDescent="0.25">
      <c r="A53" s="15">
        <v>3</v>
      </c>
      <c r="B53" s="15">
        <v>225</v>
      </c>
      <c r="C53">
        <f t="shared" si="4"/>
        <v>197.8094811731896</v>
      </c>
      <c r="D53">
        <f t="shared" si="2"/>
        <v>27.190518826810404</v>
      </c>
      <c r="E53">
        <f t="shared" si="0"/>
        <v>27.190518826810404</v>
      </c>
      <c r="F53">
        <f t="shared" si="1"/>
        <v>739.32431407113108</v>
      </c>
      <c r="G53">
        <f t="shared" si="3"/>
        <v>12.084675034137957</v>
      </c>
    </row>
    <row r="54" spans="1:7" x14ac:dyDescent="0.25">
      <c r="A54" s="15">
        <v>4</v>
      </c>
      <c r="B54" s="15">
        <v>417</v>
      </c>
      <c r="C54">
        <f t="shared" si="4"/>
        <v>200.52853305587064</v>
      </c>
      <c r="D54">
        <f t="shared" si="2"/>
        <v>216.47146694412936</v>
      </c>
      <c r="E54">
        <f t="shared" si="0"/>
        <v>216.47146694412936</v>
      </c>
      <c r="F54">
        <f t="shared" si="1"/>
        <v>46859.896000943292</v>
      </c>
      <c r="G54">
        <f t="shared" si="3"/>
        <v>51.91162276837634</v>
      </c>
    </row>
    <row r="55" spans="1:7" x14ac:dyDescent="0.25">
      <c r="A55" s="15">
        <v>5</v>
      </c>
      <c r="B55" s="15">
        <v>442</v>
      </c>
      <c r="C55">
        <f t="shared" si="4"/>
        <v>222.17567975028356</v>
      </c>
      <c r="D55">
        <f t="shared" si="2"/>
        <v>219.82432024971644</v>
      </c>
      <c r="E55">
        <f t="shared" si="0"/>
        <v>219.82432024971644</v>
      </c>
      <c r="F55">
        <f t="shared" si="1"/>
        <v>48322.731773249892</v>
      </c>
      <c r="G55">
        <f t="shared" si="3"/>
        <v>49.73400910627069</v>
      </c>
    </row>
    <row r="56" spans="1:7" x14ac:dyDescent="0.25">
      <c r="A56" s="15">
        <v>6</v>
      </c>
      <c r="B56" s="15">
        <v>245</v>
      </c>
      <c r="C56">
        <f t="shared" si="4"/>
        <v>244.15811177525524</v>
      </c>
      <c r="D56">
        <f t="shared" si="2"/>
        <v>0.8418882247447641</v>
      </c>
      <c r="E56">
        <f t="shared" si="0"/>
        <v>0.8418882247447641</v>
      </c>
      <c r="F56">
        <f t="shared" si="1"/>
        <v>0.70877578296389043</v>
      </c>
      <c r="G56">
        <f t="shared" si="3"/>
        <v>0.34362784683459757</v>
      </c>
    </row>
    <row r="57" spans="1:7" x14ac:dyDescent="0.25">
      <c r="A57" s="15">
        <v>7</v>
      </c>
      <c r="B57" s="15">
        <v>263</v>
      </c>
      <c r="C57">
        <f t="shared" si="4"/>
        <v>244.24230059772972</v>
      </c>
      <c r="D57">
        <f t="shared" si="2"/>
        <v>18.757699402270276</v>
      </c>
      <c r="E57">
        <f t="shared" si="0"/>
        <v>18.757699402270276</v>
      </c>
      <c r="F57">
        <f t="shared" si="1"/>
        <v>351.85128686593066</v>
      </c>
      <c r="G57">
        <f t="shared" si="3"/>
        <v>7.1322050959202574</v>
      </c>
    </row>
    <row r="58" spans="1:7" x14ac:dyDescent="0.25">
      <c r="A58" s="15">
        <v>8</v>
      </c>
      <c r="B58" s="15">
        <v>118</v>
      </c>
      <c r="C58">
        <f t="shared" si="4"/>
        <v>246.11807053795675</v>
      </c>
      <c r="D58">
        <f t="shared" si="2"/>
        <v>-128.11807053795675</v>
      </c>
      <c r="E58">
        <f t="shared" si="0"/>
        <v>128.11807053795675</v>
      </c>
      <c r="F58">
        <f t="shared" si="1"/>
        <v>16414.239998368863</v>
      </c>
      <c r="G58">
        <f t="shared" si="3"/>
        <v>108.5746360491159</v>
      </c>
    </row>
    <row r="59" spans="1:7" x14ac:dyDescent="0.25">
      <c r="A59" s="15">
        <v>9</v>
      </c>
      <c r="B59" s="15">
        <v>144</v>
      </c>
      <c r="C59">
        <f t="shared" si="4"/>
        <v>233.30626348416109</v>
      </c>
      <c r="D59">
        <f t="shared" si="2"/>
        <v>-89.306263484161093</v>
      </c>
      <c r="E59">
        <f t="shared" si="0"/>
        <v>89.306263484161093</v>
      </c>
      <c r="F59">
        <f t="shared" si="1"/>
        <v>7975.6086975024054</v>
      </c>
      <c r="G59">
        <f t="shared" si="3"/>
        <v>62.018238530667425</v>
      </c>
    </row>
    <row r="60" spans="1:7" x14ac:dyDescent="0.25">
      <c r="A60" s="15">
        <v>10</v>
      </c>
      <c r="B60" s="15">
        <v>144</v>
      </c>
      <c r="C60">
        <f t="shared" si="4"/>
        <v>224.375637135745</v>
      </c>
      <c r="D60">
        <f t="shared" si="2"/>
        <v>-80.375637135744995</v>
      </c>
      <c r="E60">
        <f t="shared" si="0"/>
        <v>80.375637135744995</v>
      </c>
      <c r="F60">
        <f t="shared" si="1"/>
        <v>6460.2430449769499</v>
      </c>
      <c r="G60">
        <f t="shared" si="3"/>
        <v>55.81641467760069</v>
      </c>
    </row>
    <row r="61" spans="1:7" x14ac:dyDescent="0.25">
      <c r="A61" s="15">
        <v>11</v>
      </c>
      <c r="B61" s="15">
        <v>188</v>
      </c>
      <c r="C61">
        <f t="shared" si="4"/>
        <v>216.33807342217051</v>
      </c>
      <c r="D61">
        <f t="shared" si="2"/>
        <v>-28.33807342217051</v>
      </c>
      <c r="E61">
        <f t="shared" si="0"/>
        <v>28.33807342217051</v>
      </c>
      <c r="F61">
        <f t="shared" si="1"/>
        <v>803.04640528032667</v>
      </c>
      <c r="G61">
        <f t="shared" si="3"/>
        <v>15.073443309665166</v>
      </c>
    </row>
    <row r="62" spans="1:7" x14ac:dyDescent="0.25">
      <c r="A62" s="15">
        <v>12</v>
      </c>
      <c r="B62" s="15">
        <v>91</v>
      </c>
      <c r="C62">
        <f t="shared" si="4"/>
        <v>213.50426607995348</v>
      </c>
      <c r="D62">
        <f t="shared" si="2"/>
        <v>-122.50426607995348</v>
      </c>
      <c r="E62">
        <f t="shared" si="0"/>
        <v>122.50426607995348</v>
      </c>
      <c r="F62">
        <f t="shared" si="1"/>
        <v>15007.295207788042</v>
      </c>
      <c r="G62">
        <f t="shared" si="3"/>
        <v>134.6200726153335</v>
      </c>
    </row>
    <row r="63" spans="1:7" x14ac:dyDescent="0.25">
      <c r="A63" s="15">
        <v>1</v>
      </c>
      <c r="B63" s="15">
        <v>310</v>
      </c>
      <c r="C63">
        <f t="shared" si="4"/>
        <v>201.25383947195814</v>
      </c>
      <c r="D63">
        <f t="shared" si="2"/>
        <v>108.74616052804186</v>
      </c>
      <c r="E63">
        <f t="shared" si="0"/>
        <v>108.74616052804186</v>
      </c>
      <c r="F63">
        <f t="shared" si="1"/>
        <v>11825.727429590648</v>
      </c>
      <c r="G63">
        <f t="shared" si="3"/>
        <v>35.079406621948984</v>
      </c>
    </row>
    <row r="64" spans="1:7" x14ac:dyDescent="0.25">
      <c r="A64" s="15">
        <v>2</v>
      </c>
      <c r="B64" s="15">
        <v>226</v>
      </c>
      <c r="C64">
        <f t="shared" si="4"/>
        <v>212.12845552476233</v>
      </c>
      <c r="D64">
        <f t="shared" si="2"/>
        <v>13.87154447523767</v>
      </c>
      <c r="E64">
        <f t="shared" si="0"/>
        <v>13.87154447523767</v>
      </c>
      <c r="F64">
        <f t="shared" si="1"/>
        <v>192.41974612849671</v>
      </c>
      <c r="G64">
        <f t="shared" si="3"/>
        <v>6.1378515377157825</v>
      </c>
    </row>
    <row r="65" spans="1:7" x14ac:dyDescent="0.25">
      <c r="A65" s="15">
        <v>3</v>
      </c>
      <c r="B65" s="15">
        <v>254</v>
      </c>
      <c r="C65">
        <f t="shared" si="4"/>
        <v>213.51560997228609</v>
      </c>
      <c r="D65">
        <f t="shared" si="2"/>
        <v>40.484390027713914</v>
      </c>
      <c r="E65">
        <f t="shared" si="0"/>
        <v>40.484390027713914</v>
      </c>
      <c r="F65">
        <f t="shared" si="1"/>
        <v>1638.9858359160619</v>
      </c>
      <c r="G65">
        <f t="shared" si="3"/>
        <v>15.93873623138343</v>
      </c>
    </row>
    <row r="66" spans="1:7" x14ac:dyDescent="0.25">
      <c r="A66" s="15">
        <v>4</v>
      </c>
      <c r="B66" s="15">
        <v>385</v>
      </c>
      <c r="C66">
        <f t="shared" si="4"/>
        <v>217.56404897505749</v>
      </c>
      <c r="D66">
        <f t="shared" si="2"/>
        <v>167.43595102494251</v>
      </c>
      <c r="E66">
        <f t="shared" si="0"/>
        <v>167.43595102494251</v>
      </c>
      <c r="F66">
        <f t="shared" si="1"/>
        <v>28034.797695626949</v>
      </c>
      <c r="G66">
        <f t="shared" si="3"/>
        <v>43.489857409075974</v>
      </c>
    </row>
    <row r="67" spans="1:7" x14ac:dyDescent="0.25">
      <c r="A67" s="15">
        <v>5</v>
      </c>
      <c r="B67" s="15">
        <v>318</v>
      </c>
      <c r="C67">
        <f t="shared" si="4"/>
        <v>234.30764407755174</v>
      </c>
      <c r="D67">
        <f t="shared" si="2"/>
        <v>83.692355922448257</v>
      </c>
      <c r="E67">
        <f t="shared" ref="E67:E130" si="5">ABS(D67)</f>
        <v>83.692355922448257</v>
      </c>
      <c r="F67">
        <f t="shared" ref="F67:F130" si="6">D67^2</f>
        <v>7004.4104398497602</v>
      </c>
      <c r="G67">
        <f t="shared" si="3"/>
        <v>26.318350919008886</v>
      </c>
    </row>
    <row r="68" spans="1:7" x14ac:dyDescent="0.25">
      <c r="A68" s="15">
        <v>6</v>
      </c>
      <c r="B68" s="15">
        <v>318</v>
      </c>
      <c r="C68">
        <f t="shared" si="4"/>
        <v>242.67687966979659</v>
      </c>
      <c r="D68">
        <f t="shared" ref="D68:D131" si="7">B68-C68</f>
        <v>75.323120330203409</v>
      </c>
      <c r="E68">
        <f t="shared" si="5"/>
        <v>75.323120330203409</v>
      </c>
      <c r="F68">
        <f t="shared" si="6"/>
        <v>5673.5724562783025</v>
      </c>
      <c r="G68">
        <f t="shared" ref="G68:G131" si="8">(E68/B68)*100</f>
        <v>23.686515827107989</v>
      </c>
    </row>
    <row r="69" spans="1:7" x14ac:dyDescent="0.25">
      <c r="A69" s="15">
        <v>7</v>
      </c>
      <c r="B69" s="15">
        <v>181</v>
      </c>
      <c r="C69">
        <f t="shared" ref="C69:C132" si="9">(B68*B$141)+(1-B$141)*C68</f>
        <v>250.20919170281695</v>
      </c>
      <c r="D69">
        <f t="shared" si="7"/>
        <v>-69.209191702816952</v>
      </c>
      <c r="E69">
        <f t="shared" si="5"/>
        <v>69.209191702816952</v>
      </c>
      <c r="F69">
        <f t="shared" si="6"/>
        <v>4789.9122161572668</v>
      </c>
      <c r="G69">
        <f t="shared" si="8"/>
        <v>38.237122487744173</v>
      </c>
    </row>
    <row r="70" spans="1:7" x14ac:dyDescent="0.25">
      <c r="A70" s="15">
        <v>8</v>
      </c>
      <c r="B70" s="15">
        <v>173</v>
      </c>
      <c r="C70">
        <f t="shared" si="9"/>
        <v>243.28827253253525</v>
      </c>
      <c r="D70">
        <f t="shared" si="7"/>
        <v>-70.288272532535245</v>
      </c>
      <c r="E70">
        <f t="shared" si="5"/>
        <v>70.288272532535245</v>
      </c>
      <c r="F70">
        <f t="shared" si="6"/>
        <v>4940.4412556079487</v>
      </c>
      <c r="G70">
        <f t="shared" si="8"/>
        <v>40.629059267361413</v>
      </c>
    </row>
    <row r="71" spans="1:7" x14ac:dyDescent="0.25">
      <c r="A71" s="15">
        <v>9</v>
      </c>
      <c r="B71" s="15">
        <v>248</v>
      </c>
      <c r="C71">
        <f t="shared" si="9"/>
        <v>236.25944527928175</v>
      </c>
      <c r="D71">
        <f t="shared" si="7"/>
        <v>11.740554720718251</v>
      </c>
      <c r="E71">
        <f t="shared" si="5"/>
        <v>11.740554720718251</v>
      </c>
      <c r="F71">
        <f t="shared" si="6"/>
        <v>137.84062515017959</v>
      </c>
      <c r="G71">
        <f t="shared" si="8"/>
        <v>4.7340946454509076</v>
      </c>
    </row>
    <row r="72" spans="1:7" x14ac:dyDescent="0.25">
      <c r="A72" s="15">
        <v>10</v>
      </c>
      <c r="B72" s="15">
        <v>262</v>
      </c>
      <c r="C72">
        <f t="shared" si="9"/>
        <v>237.43350075135359</v>
      </c>
      <c r="D72">
        <f t="shared" si="7"/>
        <v>24.566499248646409</v>
      </c>
      <c r="E72">
        <f t="shared" si="5"/>
        <v>24.566499248646409</v>
      </c>
      <c r="F72">
        <f t="shared" si="6"/>
        <v>603.51288533374452</v>
      </c>
      <c r="G72">
        <f t="shared" si="8"/>
        <v>9.3765264307810714</v>
      </c>
    </row>
    <row r="73" spans="1:7" x14ac:dyDescent="0.25">
      <c r="A73" s="15">
        <v>11</v>
      </c>
      <c r="B73" s="15">
        <v>209</v>
      </c>
      <c r="C73">
        <f t="shared" si="9"/>
        <v>239.89015067621824</v>
      </c>
      <c r="D73">
        <f t="shared" si="7"/>
        <v>-30.890150676218241</v>
      </c>
      <c r="E73">
        <f t="shared" si="5"/>
        <v>30.890150676218241</v>
      </c>
      <c r="F73">
        <f t="shared" si="6"/>
        <v>954.20140879946621</v>
      </c>
      <c r="G73">
        <f t="shared" si="8"/>
        <v>14.779976400104422</v>
      </c>
    </row>
    <row r="74" spans="1:7" x14ac:dyDescent="0.25">
      <c r="A74" s="15">
        <v>12</v>
      </c>
      <c r="B74" s="15">
        <v>201</v>
      </c>
      <c r="C74">
        <f t="shared" si="9"/>
        <v>236.80113560859644</v>
      </c>
      <c r="D74">
        <f t="shared" si="7"/>
        <v>-35.801135608596439</v>
      </c>
      <c r="E74">
        <f t="shared" si="5"/>
        <v>35.801135608596439</v>
      </c>
      <c r="F74">
        <f t="shared" si="6"/>
        <v>1281.7213108651119</v>
      </c>
      <c r="G74">
        <f t="shared" si="8"/>
        <v>17.811510253033056</v>
      </c>
    </row>
    <row r="75" spans="1:7" x14ac:dyDescent="0.25">
      <c r="A75" s="15">
        <v>1</v>
      </c>
      <c r="B75" s="15">
        <v>313</v>
      </c>
      <c r="C75">
        <f t="shared" si="9"/>
        <v>233.2210220477368</v>
      </c>
      <c r="D75">
        <f t="shared" si="7"/>
        <v>79.778977952263205</v>
      </c>
      <c r="E75">
        <f t="shared" si="5"/>
        <v>79.778977952263205</v>
      </c>
      <c r="F75">
        <f t="shared" si="6"/>
        <v>6364.6853231076984</v>
      </c>
      <c r="G75">
        <f t="shared" si="8"/>
        <v>25.488491358550547</v>
      </c>
    </row>
    <row r="76" spans="1:7" x14ac:dyDescent="0.25">
      <c r="A76" s="15">
        <v>2</v>
      </c>
      <c r="B76" s="15">
        <v>144</v>
      </c>
      <c r="C76">
        <f t="shared" si="9"/>
        <v>241.19891984296314</v>
      </c>
      <c r="D76">
        <f t="shared" si="7"/>
        <v>-97.198919842963136</v>
      </c>
      <c r="E76">
        <f t="shared" si="5"/>
        <v>97.198919842963136</v>
      </c>
      <c r="F76">
        <f t="shared" si="6"/>
        <v>9447.6300186387725</v>
      </c>
      <c r="G76">
        <f t="shared" si="8"/>
        <v>67.499249890946629</v>
      </c>
    </row>
    <row r="77" spans="1:7" x14ac:dyDescent="0.25">
      <c r="A77" s="15">
        <v>3</v>
      </c>
      <c r="B77" s="15">
        <v>206</v>
      </c>
      <c r="C77">
        <f t="shared" si="9"/>
        <v>231.47902785866683</v>
      </c>
      <c r="D77">
        <f t="shared" si="7"/>
        <v>-25.479027858666825</v>
      </c>
      <c r="E77">
        <f t="shared" si="5"/>
        <v>25.479027858666825</v>
      </c>
      <c r="F77">
        <f t="shared" si="6"/>
        <v>649.18086062272016</v>
      </c>
      <c r="G77">
        <f t="shared" si="8"/>
        <v>12.36846012556642</v>
      </c>
    </row>
    <row r="78" spans="1:7" x14ac:dyDescent="0.25">
      <c r="A78" s="15">
        <v>4</v>
      </c>
      <c r="B78" s="15">
        <v>300</v>
      </c>
      <c r="C78">
        <f t="shared" si="9"/>
        <v>228.93112507280014</v>
      </c>
      <c r="D78">
        <f t="shared" si="7"/>
        <v>71.068874927199857</v>
      </c>
      <c r="E78">
        <f t="shared" si="5"/>
        <v>71.068874927199857</v>
      </c>
      <c r="F78">
        <f t="shared" si="6"/>
        <v>5050.7849834179769</v>
      </c>
      <c r="G78">
        <f t="shared" si="8"/>
        <v>23.689624975733288</v>
      </c>
    </row>
    <row r="79" spans="1:7" x14ac:dyDescent="0.25">
      <c r="A79" s="15">
        <v>5</v>
      </c>
      <c r="B79" s="15">
        <v>276</v>
      </c>
      <c r="C79">
        <f t="shared" si="9"/>
        <v>236.03801256552012</v>
      </c>
      <c r="D79">
        <f t="shared" si="7"/>
        <v>39.96198743447988</v>
      </c>
      <c r="E79">
        <f t="shared" si="5"/>
        <v>39.96198743447988</v>
      </c>
      <c r="F79">
        <f t="shared" si="6"/>
        <v>1596.9604397135279</v>
      </c>
      <c r="G79">
        <f t="shared" si="8"/>
        <v>14.478980954521695</v>
      </c>
    </row>
    <row r="80" spans="1:7" x14ac:dyDescent="0.25">
      <c r="A80" s="15">
        <v>6</v>
      </c>
      <c r="B80" s="15">
        <v>296</v>
      </c>
      <c r="C80">
        <f t="shared" si="9"/>
        <v>240.03421130896811</v>
      </c>
      <c r="D80">
        <f t="shared" si="7"/>
        <v>55.965788691031889</v>
      </c>
      <c r="E80">
        <f t="shared" si="5"/>
        <v>55.965788691031889</v>
      </c>
      <c r="F80">
        <f t="shared" si="6"/>
        <v>3132.169503809233</v>
      </c>
      <c r="G80">
        <f t="shared" si="8"/>
        <v>18.907361044267528</v>
      </c>
    </row>
    <row r="81" spans="1:7" x14ac:dyDescent="0.25">
      <c r="A81" s="15">
        <v>7</v>
      </c>
      <c r="B81" s="15">
        <v>281</v>
      </c>
      <c r="C81">
        <f t="shared" si="9"/>
        <v>245.63079017807129</v>
      </c>
      <c r="D81">
        <f t="shared" si="7"/>
        <v>35.369209821928706</v>
      </c>
      <c r="E81">
        <f t="shared" si="5"/>
        <v>35.369209821928706</v>
      </c>
      <c r="F81">
        <f t="shared" si="6"/>
        <v>1250.9810034276181</v>
      </c>
      <c r="G81">
        <f t="shared" si="8"/>
        <v>12.586907409939041</v>
      </c>
    </row>
    <row r="82" spans="1:7" x14ac:dyDescent="0.25">
      <c r="A82" s="15">
        <v>8</v>
      </c>
      <c r="B82" s="15">
        <v>335</v>
      </c>
      <c r="C82">
        <f t="shared" si="9"/>
        <v>249.16771116026416</v>
      </c>
      <c r="D82">
        <f t="shared" si="7"/>
        <v>85.832288839735838</v>
      </c>
      <c r="E82">
        <f t="shared" si="5"/>
        <v>85.832288839735838</v>
      </c>
      <c r="F82">
        <f t="shared" si="6"/>
        <v>7367.1818074678413</v>
      </c>
      <c r="G82">
        <f t="shared" si="8"/>
        <v>25.621578758130102</v>
      </c>
    </row>
    <row r="83" spans="1:7" x14ac:dyDescent="0.25">
      <c r="A83" s="15">
        <v>9</v>
      </c>
      <c r="B83" s="15">
        <v>44</v>
      </c>
      <c r="C83">
        <f t="shared" si="9"/>
        <v>257.75094004423772</v>
      </c>
      <c r="D83">
        <f t="shared" si="7"/>
        <v>-213.75094004423772</v>
      </c>
      <c r="E83">
        <f t="shared" si="5"/>
        <v>213.75094004423772</v>
      </c>
      <c r="F83">
        <f t="shared" si="6"/>
        <v>45689.464369795307</v>
      </c>
      <c r="G83">
        <f t="shared" si="8"/>
        <v>485.79759100963116</v>
      </c>
    </row>
    <row r="84" spans="1:7" x14ac:dyDescent="0.25">
      <c r="A84" s="15">
        <v>10</v>
      </c>
      <c r="B84" s="15">
        <v>195</v>
      </c>
      <c r="C84">
        <f t="shared" si="9"/>
        <v>236.37584603981395</v>
      </c>
      <c r="D84">
        <f t="shared" si="7"/>
        <v>-41.37584603981395</v>
      </c>
      <c r="E84">
        <f t="shared" si="5"/>
        <v>41.37584603981395</v>
      </c>
      <c r="F84">
        <f t="shared" si="6"/>
        <v>1711.9606355103879</v>
      </c>
      <c r="G84">
        <f t="shared" si="8"/>
        <v>21.218382584519972</v>
      </c>
    </row>
    <row r="85" spans="1:7" x14ac:dyDescent="0.25">
      <c r="A85" s="15">
        <v>11</v>
      </c>
      <c r="B85" s="15">
        <v>141</v>
      </c>
      <c r="C85">
        <f t="shared" si="9"/>
        <v>232.23826143583256</v>
      </c>
      <c r="D85">
        <f t="shared" si="7"/>
        <v>-91.238261435832555</v>
      </c>
      <c r="E85">
        <f t="shared" si="5"/>
        <v>91.238261435832555</v>
      </c>
      <c r="F85">
        <f t="shared" si="6"/>
        <v>8324.42034983333</v>
      </c>
      <c r="G85">
        <f t="shared" si="8"/>
        <v>64.707986833923798</v>
      </c>
    </row>
    <row r="86" spans="1:7" x14ac:dyDescent="0.25">
      <c r="A86" s="15">
        <v>12</v>
      </c>
      <c r="B86" s="15">
        <v>131</v>
      </c>
      <c r="C86">
        <f t="shared" si="9"/>
        <v>223.11443529224931</v>
      </c>
      <c r="D86">
        <f t="shared" si="7"/>
        <v>-92.114435292249311</v>
      </c>
      <c r="E86">
        <f t="shared" si="5"/>
        <v>92.114435292249311</v>
      </c>
      <c r="F86">
        <f t="shared" si="6"/>
        <v>8485.0691892099858</v>
      </c>
      <c r="G86">
        <f t="shared" si="8"/>
        <v>70.316362818510925</v>
      </c>
    </row>
    <row r="87" spans="1:7" x14ac:dyDescent="0.25">
      <c r="A87" s="15">
        <v>1</v>
      </c>
      <c r="B87" s="15">
        <v>370</v>
      </c>
      <c r="C87">
        <f t="shared" si="9"/>
        <v>213.90299176302437</v>
      </c>
      <c r="D87">
        <f t="shared" si="7"/>
        <v>156.09700823697563</v>
      </c>
      <c r="E87">
        <f t="shared" si="5"/>
        <v>156.09700823697563</v>
      </c>
      <c r="F87">
        <f t="shared" si="6"/>
        <v>24366.275980534436</v>
      </c>
      <c r="G87">
        <f t="shared" si="8"/>
        <v>42.188380604588005</v>
      </c>
    </row>
    <row r="88" spans="1:7" x14ac:dyDescent="0.25">
      <c r="A88" s="15">
        <v>2</v>
      </c>
      <c r="B88" s="15">
        <v>240</v>
      </c>
      <c r="C88">
        <f t="shared" si="9"/>
        <v>229.51269258672195</v>
      </c>
      <c r="D88">
        <f t="shared" si="7"/>
        <v>10.487307413278046</v>
      </c>
      <c r="E88">
        <f t="shared" si="5"/>
        <v>10.487307413278046</v>
      </c>
      <c r="F88">
        <f t="shared" si="6"/>
        <v>109.98361678059666</v>
      </c>
      <c r="G88">
        <f t="shared" si="8"/>
        <v>4.3697114221991855</v>
      </c>
    </row>
    <row r="89" spans="1:7" x14ac:dyDescent="0.25">
      <c r="A89" s="15">
        <v>3</v>
      </c>
      <c r="B89" s="15">
        <v>219</v>
      </c>
      <c r="C89">
        <f t="shared" si="9"/>
        <v>230.56142332804976</v>
      </c>
      <c r="D89">
        <f t="shared" si="7"/>
        <v>-11.561423328049756</v>
      </c>
      <c r="E89">
        <f t="shared" si="5"/>
        <v>11.561423328049756</v>
      </c>
      <c r="F89">
        <f t="shared" si="6"/>
        <v>133.66650937037309</v>
      </c>
      <c r="G89">
        <f t="shared" si="8"/>
        <v>5.2791887342692947</v>
      </c>
    </row>
    <row r="90" spans="1:7" x14ac:dyDescent="0.25">
      <c r="A90" s="15">
        <v>4</v>
      </c>
      <c r="B90" s="15">
        <v>425</v>
      </c>
      <c r="C90">
        <f t="shared" si="9"/>
        <v>229.40528099524479</v>
      </c>
      <c r="D90">
        <f t="shared" si="7"/>
        <v>195.59471900475521</v>
      </c>
      <c r="E90">
        <f t="shared" si="5"/>
        <v>195.59471900475521</v>
      </c>
      <c r="F90">
        <f t="shared" si="6"/>
        <v>38257.294102549145</v>
      </c>
      <c r="G90">
        <f t="shared" si="8"/>
        <v>46.022286824648283</v>
      </c>
    </row>
    <row r="91" spans="1:7" x14ac:dyDescent="0.25">
      <c r="A91" s="15">
        <v>5</v>
      </c>
      <c r="B91" s="15">
        <v>451</v>
      </c>
      <c r="C91">
        <f t="shared" si="9"/>
        <v>248.96475289572032</v>
      </c>
      <c r="D91">
        <f t="shared" si="7"/>
        <v>202.03524710427968</v>
      </c>
      <c r="E91">
        <f t="shared" si="5"/>
        <v>202.03524710427968</v>
      </c>
      <c r="F91">
        <f t="shared" si="6"/>
        <v>40818.241072487348</v>
      </c>
      <c r="G91">
        <f t="shared" si="8"/>
        <v>44.797172306935629</v>
      </c>
    </row>
    <row r="92" spans="1:7" x14ac:dyDescent="0.25">
      <c r="A92" s="15">
        <v>6</v>
      </c>
      <c r="B92" s="15">
        <v>386</v>
      </c>
      <c r="C92">
        <f t="shared" si="9"/>
        <v>269.16827760614831</v>
      </c>
      <c r="D92">
        <f t="shared" si="7"/>
        <v>116.83172239385169</v>
      </c>
      <c r="E92">
        <f t="shared" si="5"/>
        <v>116.83172239385169</v>
      </c>
      <c r="F92">
        <f t="shared" si="6"/>
        <v>13649.651357514027</v>
      </c>
      <c r="G92">
        <f t="shared" si="8"/>
        <v>30.267285594262095</v>
      </c>
    </row>
    <row r="93" spans="1:7" x14ac:dyDescent="0.25">
      <c r="A93" s="15">
        <v>7</v>
      </c>
      <c r="B93" s="15">
        <v>545</v>
      </c>
      <c r="C93">
        <f t="shared" si="9"/>
        <v>280.85144984553347</v>
      </c>
      <c r="D93">
        <f t="shared" si="7"/>
        <v>264.14855015446653</v>
      </c>
      <c r="E93">
        <f t="shared" si="5"/>
        <v>264.14855015446653</v>
      </c>
      <c r="F93">
        <f t="shared" si="6"/>
        <v>69774.456548706716</v>
      </c>
      <c r="G93">
        <f t="shared" si="8"/>
        <v>48.467623881553493</v>
      </c>
    </row>
    <row r="94" spans="1:7" x14ac:dyDescent="0.25">
      <c r="A94" s="15">
        <v>8</v>
      </c>
      <c r="B94" s="15">
        <v>828</v>
      </c>
      <c r="C94">
        <f t="shared" si="9"/>
        <v>307.26630486098009</v>
      </c>
      <c r="D94">
        <f t="shared" si="7"/>
        <v>520.73369513901991</v>
      </c>
      <c r="E94">
        <f t="shared" si="5"/>
        <v>520.73369513901991</v>
      </c>
      <c r="F94">
        <f t="shared" si="6"/>
        <v>271163.58125313773</v>
      </c>
      <c r="G94">
        <f t="shared" si="8"/>
        <v>62.890542891185987</v>
      </c>
    </row>
    <row r="95" spans="1:7" x14ac:dyDescent="0.25">
      <c r="A95" s="15">
        <v>9</v>
      </c>
      <c r="B95" s="15">
        <v>65</v>
      </c>
      <c r="C95">
        <f t="shared" si="9"/>
        <v>359.33967437488212</v>
      </c>
      <c r="D95">
        <f t="shared" si="7"/>
        <v>-294.33967437488212</v>
      </c>
      <c r="E95">
        <f t="shared" si="5"/>
        <v>294.33967437488212</v>
      </c>
      <c r="F95">
        <f t="shared" si="6"/>
        <v>86635.843911111646</v>
      </c>
      <c r="G95">
        <f t="shared" si="8"/>
        <v>452.83026826904944</v>
      </c>
    </row>
    <row r="96" spans="1:7" x14ac:dyDescent="0.25">
      <c r="A96" s="15">
        <v>10</v>
      </c>
      <c r="B96" s="15">
        <v>121</v>
      </c>
      <c r="C96">
        <f t="shared" si="9"/>
        <v>329.90570693739392</v>
      </c>
      <c r="D96">
        <f t="shared" si="7"/>
        <v>-208.90570693739392</v>
      </c>
      <c r="E96">
        <f t="shared" si="5"/>
        <v>208.90570693739392</v>
      </c>
      <c r="F96">
        <f t="shared" si="6"/>
        <v>43641.59439101231</v>
      </c>
      <c r="G96">
        <f t="shared" si="8"/>
        <v>172.6493445763586</v>
      </c>
    </row>
    <row r="97" spans="1:7" x14ac:dyDescent="0.25">
      <c r="A97" s="15">
        <v>11</v>
      </c>
      <c r="B97" s="15">
        <v>254</v>
      </c>
      <c r="C97">
        <f t="shared" si="9"/>
        <v>309.01513624365458</v>
      </c>
      <c r="D97">
        <f t="shared" si="7"/>
        <v>-55.015136243654581</v>
      </c>
      <c r="E97">
        <f t="shared" si="5"/>
        <v>55.015136243654581</v>
      </c>
      <c r="F97">
        <f t="shared" si="6"/>
        <v>3026.6652159078758</v>
      </c>
      <c r="G97">
        <f t="shared" si="8"/>
        <v>21.659502458131723</v>
      </c>
    </row>
    <row r="98" spans="1:7" x14ac:dyDescent="0.25">
      <c r="A98" s="15">
        <v>12</v>
      </c>
      <c r="B98" s="15">
        <v>116</v>
      </c>
      <c r="C98">
        <f t="shared" si="9"/>
        <v>303.51362261928909</v>
      </c>
      <c r="D98">
        <f t="shared" si="7"/>
        <v>-187.51362261928909</v>
      </c>
      <c r="E98">
        <f t="shared" si="5"/>
        <v>187.51362261928909</v>
      </c>
      <c r="F98">
        <f t="shared" si="6"/>
        <v>35161.358667809167</v>
      </c>
      <c r="G98">
        <f t="shared" si="8"/>
        <v>161.64967467180094</v>
      </c>
    </row>
    <row r="99" spans="1:7" x14ac:dyDescent="0.25">
      <c r="A99" s="15">
        <v>1</v>
      </c>
      <c r="B99" s="15">
        <v>358</v>
      </c>
      <c r="C99">
        <f t="shared" si="9"/>
        <v>284.76226035736022</v>
      </c>
      <c r="D99">
        <f t="shared" si="7"/>
        <v>73.237739642639781</v>
      </c>
      <c r="E99">
        <f t="shared" si="5"/>
        <v>73.237739642639781</v>
      </c>
      <c r="F99">
        <f t="shared" si="6"/>
        <v>5363.7665079630906</v>
      </c>
      <c r="G99">
        <f t="shared" si="8"/>
        <v>20.457469173921726</v>
      </c>
    </row>
    <row r="100" spans="1:7" x14ac:dyDescent="0.25">
      <c r="A100" s="15">
        <v>2</v>
      </c>
      <c r="B100" s="15">
        <v>190</v>
      </c>
      <c r="C100">
        <f t="shared" si="9"/>
        <v>292.0860343216242</v>
      </c>
      <c r="D100">
        <f t="shared" si="7"/>
        <v>-102.0860343216242</v>
      </c>
      <c r="E100">
        <f t="shared" si="5"/>
        <v>102.0860343216242</v>
      </c>
      <c r="F100">
        <f t="shared" si="6"/>
        <v>10421.558403515834</v>
      </c>
      <c r="G100">
        <f t="shared" si="8"/>
        <v>53.729491748223253</v>
      </c>
    </row>
    <row r="101" spans="1:7" x14ac:dyDescent="0.25">
      <c r="A101" s="15">
        <v>3</v>
      </c>
      <c r="B101" s="15">
        <v>108</v>
      </c>
      <c r="C101">
        <f t="shared" si="9"/>
        <v>281.87743088946178</v>
      </c>
      <c r="D101">
        <f t="shared" si="7"/>
        <v>-173.87743088946178</v>
      </c>
      <c r="E101">
        <f t="shared" si="5"/>
        <v>173.87743088946178</v>
      </c>
      <c r="F101">
        <f t="shared" si="6"/>
        <v>30233.360972719558</v>
      </c>
      <c r="G101">
        <f t="shared" si="8"/>
        <v>160.99762119394609</v>
      </c>
    </row>
    <row r="102" spans="1:7" x14ac:dyDescent="0.25">
      <c r="A102" s="15">
        <v>4</v>
      </c>
      <c r="B102" s="15">
        <v>175</v>
      </c>
      <c r="C102">
        <f t="shared" si="9"/>
        <v>264.48968780051558</v>
      </c>
      <c r="D102">
        <f t="shared" si="7"/>
        <v>-89.489687800515583</v>
      </c>
      <c r="E102">
        <f t="shared" si="5"/>
        <v>89.489687800515583</v>
      </c>
      <c r="F102">
        <f t="shared" si="6"/>
        <v>8008.4042226337478</v>
      </c>
      <c r="G102">
        <f t="shared" si="8"/>
        <v>51.136964457437472</v>
      </c>
    </row>
    <row r="103" spans="1:7" x14ac:dyDescent="0.25">
      <c r="A103" s="15">
        <v>5</v>
      </c>
      <c r="B103" s="15">
        <v>214</v>
      </c>
      <c r="C103">
        <f t="shared" si="9"/>
        <v>255.54071902046402</v>
      </c>
      <c r="D103">
        <f t="shared" si="7"/>
        <v>-41.540719020464024</v>
      </c>
      <c r="E103">
        <f t="shared" si="5"/>
        <v>41.540719020464024</v>
      </c>
      <c r="F103">
        <f t="shared" si="6"/>
        <v>1725.6313367371415</v>
      </c>
      <c r="G103">
        <f t="shared" si="8"/>
        <v>19.411550944142068</v>
      </c>
    </row>
    <row r="104" spans="1:7" x14ac:dyDescent="0.25">
      <c r="A104" s="15">
        <v>6</v>
      </c>
      <c r="B104" s="15">
        <v>298</v>
      </c>
      <c r="C104">
        <f t="shared" si="9"/>
        <v>251.38664711841764</v>
      </c>
      <c r="D104">
        <f t="shared" si="7"/>
        <v>46.613352881582358</v>
      </c>
      <c r="E104">
        <f t="shared" si="5"/>
        <v>46.613352881582358</v>
      </c>
      <c r="F104">
        <f t="shared" si="6"/>
        <v>2172.8046668629222</v>
      </c>
      <c r="G104">
        <f t="shared" si="8"/>
        <v>15.642064725363209</v>
      </c>
    </row>
    <row r="105" spans="1:7" x14ac:dyDescent="0.25">
      <c r="A105" s="15">
        <v>7</v>
      </c>
      <c r="B105" s="15">
        <v>326</v>
      </c>
      <c r="C105">
        <f t="shared" si="9"/>
        <v>256.0479824065759</v>
      </c>
      <c r="D105">
        <f t="shared" si="7"/>
        <v>69.952017593424102</v>
      </c>
      <c r="E105">
        <f t="shared" si="5"/>
        <v>69.952017593424102</v>
      </c>
      <c r="F105">
        <f t="shared" si="6"/>
        <v>4893.2847653907147</v>
      </c>
      <c r="G105">
        <f t="shared" si="8"/>
        <v>21.457674108412299</v>
      </c>
    </row>
    <row r="106" spans="1:7" x14ac:dyDescent="0.25">
      <c r="A106" s="15">
        <v>8</v>
      </c>
      <c r="B106" s="15">
        <v>216</v>
      </c>
      <c r="C106">
        <f t="shared" si="9"/>
        <v>263.04318416591832</v>
      </c>
      <c r="D106">
        <f t="shared" si="7"/>
        <v>-47.043184165918319</v>
      </c>
      <c r="E106">
        <f t="shared" si="5"/>
        <v>47.043184165918319</v>
      </c>
      <c r="F106">
        <f t="shared" si="6"/>
        <v>2213.0611764685082</v>
      </c>
      <c r="G106">
        <f t="shared" si="8"/>
        <v>21.779251928665889</v>
      </c>
    </row>
    <row r="107" spans="1:7" x14ac:dyDescent="0.25">
      <c r="A107" s="15">
        <v>9</v>
      </c>
      <c r="B107" s="15">
        <v>165</v>
      </c>
      <c r="C107">
        <f t="shared" si="9"/>
        <v>258.33886574932649</v>
      </c>
      <c r="D107">
        <f t="shared" si="7"/>
        <v>-93.338865749326487</v>
      </c>
      <c r="E107">
        <f t="shared" si="5"/>
        <v>93.338865749326487</v>
      </c>
      <c r="F107">
        <f t="shared" si="6"/>
        <v>8712.1438593707935</v>
      </c>
      <c r="G107">
        <f t="shared" si="8"/>
        <v>56.569009545046356</v>
      </c>
    </row>
    <row r="108" spans="1:7" x14ac:dyDescent="0.25">
      <c r="A108" s="15">
        <v>10</v>
      </c>
      <c r="B108" s="15">
        <v>229</v>
      </c>
      <c r="C108">
        <f t="shared" si="9"/>
        <v>249.00497917439384</v>
      </c>
      <c r="D108">
        <f t="shared" si="7"/>
        <v>-20.004979174393839</v>
      </c>
      <c r="E108">
        <f t="shared" si="5"/>
        <v>20.004979174393839</v>
      </c>
      <c r="F108">
        <f t="shared" si="6"/>
        <v>400.19919176793121</v>
      </c>
      <c r="G108">
        <f t="shared" si="8"/>
        <v>8.7357987661108467</v>
      </c>
    </row>
    <row r="109" spans="1:7" x14ac:dyDescent="0.25">
      <c r="A109" s="15">
        <v>11</v>
      </c>
      <c r="B109" s="15">
        <v>263</v>
      </c>
      <c r="C109">
        <f t="shared" si="9"/>
        <v>247.00448125695448</v>
      </c>
      <c r="D109">
        <f t="shared" si="7"/>
        <v>15.995518743045523</v>
      </c>
      <c r="E109">
        <f t="shared" si="5"/>
        <v>15.995518743045523</v>
      </c>
      <c r="F109">
        <f t="shared" si="6"/>
        <v>255.85661985912063</v>
      </c>
      <c r="G109">
        <f t="shared" si="8"/>
        <v>6.081946290131377</v>
      </c>
    </row>
    <row r="110" spans="1:7" x14ac:dyDescent="0.25">
      <c r="A110" s="15">
        <v>12</v>
      </c>
      <c r="B110" s="15">
        <v>155</v>
      </c>
      <c r="C110">
        <f t="shared" si="9"/>
        <v>248.60403313125906</v>
      </c>
      <c r="D110">
        <f t="shared" si="7"/>
        <v>-93.604033131259058</v>
      </c>
      <c r="E110">
        <f t="shared" si="5"/>
        <v>93.604033131259058</v>
      </c>
      <c r="F110">
        <f t="shared" si="6"/>
        <v>8761.7150184378443</v>
      </c>
      <c r="G110">
        <f t="shared" si="8"/>
        <v>60.389698794360683</v>
      </c>
    </row>
    <row r="111" spans="1:7" x14ac:dyDescent="0.25">
      <c r="A111" s="15">
        <v>1</v>
      </c>
      <c r="B111" s="15">
        <v>235</v>
      </c>
      <c r="C111">
        <f t="shared" si="9"/>
        <v>239.24362981813314</v>
      </c>
      <c r="D111">
        <f t="shared" si="7"/>
        <v>-4.2436298181331438</v>
      </c>
      <c r="E111">
        <f t="shared" si="5"/>
        <v>4.2436298181331438</v>
      </c>
      <c r="F111">
        <f t="shared" si="6"/>
        <v>18.00839403334874</v>
      </c>
      <c r="G111">
        <f t="shared" si="8"/>
        <v>1.8057999226098485</v>
      </c>
    </row>
    <row r="112" spans="1:7" x14ac:dyDescent="0.25">
      <c r="A112" s="15">
        <v>2</v>
      </c>
      <c r="B112" s="15">
        <v>242</v>
      </c>
      <c r="C112">
        <f t="shared" si="9"/>
        <v>238.81926683631983</v>
      </c>
      <c r="D112">
        <f t="shared" si="7"/>
        <v>3.1807331636801734</v>
      </c>
      <c r="E112">
        <f t="shared" si="5"/>
        <v>3.1807331636801734</v>
      </c>
      <c r="F112">
        <f t="shared" si="6"/>
        <v>10.117063458534885</v>
      </c>
      <c r="G112">
        <f t="shared" si="8"/>
        <v>1.3143525469752784</v>
      </c>
    </row>
    <row r="113" spans="1:7" x14ac:dyDescent="0.25">
      <c r="A113" s="15">
        <v>3</v>
      </c>
      <c r="B113" s="15">
        <v>302</v>
      </c>
      <c r="C113">
        <f t="shared" si="9"/>
        <v>239.13734015268784</v>
      </c>
      <c r="D113">
        <f t="shared" si="7"/>
        <v>62.862659847312159</v>
      </c>
      <c r="E113">
        <f t="shared" si="5"/>
        <v>62.862659847312159</v>
      </c>
      <c r="F113">
        <f t="shared" si="6"/>
        <v>3951.7140030788723</v>
      </c>
      <c r="G113">
        <f t="shared" si="8"/>
        <v>20.815450280566942</v>
      </c>
    </row>
    <row r="114" spans="1:7" x14ac:dyDescent="0.25">
      <c r="A114" s="15">
        <v>4</v>
      </c>
      <c r="B114" s="15">
        <v>369</v>
      </c>
      <c r="C114">
        <f t="shared" si="9"/>
        <v>245.42360613741909</v>
      </c>
      <c r="D114">
        <f t="shared" si="7"/>
        <v>123.57639386258091</v>
      </c>
      <c r="E114">
        <f t="shared" si="5"/>
        <v>123.57639386258091</v>
      </c>
      <c r="F114">
        <f t="shared" si="6"/>
        <v>15271.125120079725</v>
      </c>
      <c r="G114">
        <f t="shared" si="8"/>
        <v>33.48953763213575</v>
      </c>
    </row>
    <row r="115" spans="1:7" x14ac:dyDescent="0.25">
      <c r="A115" s="15">
        <v>5</v>
      </c>
      <c r="B115" s="15">
        <v>326</v>
      </c>
      <c r="C115">
        <f t="shared" si="9"/>
        <v>257.78124552367717</v>
      </c>
      <c r="D115">
        <f t="shared" si="7"/>
        <v>68.218754476322829</v>
      </c>
      <c r="E115">
        <f t="shared" si="5"/>
        <v>68.218754476322829</v>
      </c>
      <c r="F115">
        <f t="shared" si="6"/>
        <v>4653.798462300816</v>
      </c>
      <c r="G115">
        <f t="shared" si="8"/>
        <v>20.925998305620499</v>
      </c>
    </row>
    <row r="116" spans="1:7" x14ac:dyDescent="0.25">
      <c r="A116" s="15">
        <v>6</v>
      </c>
      <c r="B116" s="15">
        <v>490</v>
      </c>
      <c r="C116">
        <f t="shared" si="9"/>
        <v>264.60312097130947</v>
      </c>
      <c r="D116">
        <f t="shared" si="7"/>
        <v>225.39687902869053</v>
      </c>
      <c r="E116">
        <f t="shared" si="5"/>
        <v>225.39687902869053</v>
      </c>
      <c r="F116">
        <f t="shared" si="6"/>
        <v>50803.753075874156</v>
      </c>
      <c r="G116">
        <f t="shared" si="8"/>
        <v>45.999363067079699</v>
      </c>
    </row>
    <row r="117" spans="1:7" x14ac:dyDescent="0.25">
      <c r="A117" s="15">
        <v>7</v>
      </c>
      <c r="B117" s="15">
        <v>228</v>
      </c>
      <c r="C117">
        <f t="shared" si="9"/>
        <v>287.14280887417851</v>
      </c>
      <c r="D117">
        <f t="shared" si="7"/>
        <v>-59.142808874178513</v>
      </c>
      <c r="E117">
        <f t="shared" si="5"/>
        <v>59.142808874178513</v>
      </c>
      <c r="F117">
        <f t="shared" si="6"/>
        <v>3497.8718415276085</v>
      </c>
      <c r="G117">
        <f t="shared" si="8"/>
        <v>25.939828453587065</v>
      </c>
    </row>
    <row r="118" spans="1:7" x14ac:dyDescent="0.25">
      <c r="A118" s="15">
        <v>8</v>
      </c>
      <c r="B118" s="15">
        <v>257</v>
      </c>
      <c r="C118">
        <f t="shared" si="9"/>
        <v>281.2285279867607</v>
      </c>
      <c r="D118">
        <f t="shared" si="7"/>
        <v>-24.228527986760696</v>
      </c>
      <c r="E118">
        <f t="shared" si="5"/>
        <v>24.228527986760696</v>
      </c>
      <c r="F118">
        <f t="shared" si="6"/>
        <v>587.02156840524628</v>
      </c>
      <c r="G118">
        <f t="shared" si="8"/>
        <v>9.4274427964049412</v>
      </c>
    </row>
    <row r="119" spans="1:7" x14ac:dyDescent="0.25">
      <c r="A119" s="15">
        <v>9</v>
      </c>
      <c r="B119" s="15">
        <v>249</v>
      </c>
      <c r="C119">
        <f t="shared" si="9"/>
        <v>278.80567518808465</v>
      </c>
      <c r="D119">
        <f t="shared" si="7"/>
        <v>-29.805675188084649</v>
      </c>
      <c r="E119">
        <f t="shared" si="5"/>
        <v>29.805675188084649</v>
      </c>
      <c r="F119">
        <f t="shared" si="6"/>
        <v>888.37827341760487</v>
      </c>
      <c r="G119">
        <f t="shared" si="8"/>
        <v>11.970150677945641</v>
      </c>
    </row>
    <row r="120" spans="1:7" x14ac:dyDescent="0.25">
      <c r="A120" s="15">
        <v>10</v>
      </c>
      <c r="B120" s="15">
        <v>302</v>
      </c>
      <c r="C120">
        <f t="shared" si="9"/>
        <v>275.82510766927618</v>
      </c>
      <c r="D120">
        <f t="shared" si="7"/>
        <v>26.174892330723821</v>
      </c>
      <c r="E120">
        <f t="shared" si="5"/>
        <v>26.174892330723821</v>
      </c>
      <c r="F120">
        <f t="shared" si="6"/>
        <v>685.1249885249847</v>
      </c>
      <c r="G120">
        <f t="shared" si="8"/>
        <v>8.667182890968153</v>
      </c>
    </row>
    <row r="121" spans="1:7" x14ac:dyDescent="0.25">
      <c r="A121" s="15">
        <v>11</v>
      </c>
      <c r="B121" s="15">
        <v>302</v>
      </c>
      <c r="C121">
        <f t="shared" si="9"/>
        <v>278.44259690234855</v>
      </c>
      <c r="D121">
        <f t="shared" si="7"/>
        <v>23.557403097651445</v>
      </c>
      <c r="E121">
        <f t="shared" si="5"/>
        <v>23.557403097651445</v>
      </c>
      <c r="F121">
        <f t="shared" si="6"/>
        <v>554.95124070523786</v>
      </c>
      <c r="G121">
        <f t="shared" si="8"/>
        <v>7.8004646018713393</v>
      </c>
    </row>
    <row r="122" spans="1:7" x14ac:dyDescent="0.25">
      <c r="A122" s="15">
        <v>12</v>
      </c>
      <c r="B122" s="15">
        <v>243</v>
      </c>
      <c r="C122">
        <f t="shared" si="9"/>
        <v>280.79833721211372</v>
      </c>
      <c r="D122">
        <f t="shared" si="7"/>
        <v>-37.798337212113722</v>
      </c>
      <c r="E122">
        <f t="shared" si="5"/>
        <v>37.798337212113722</v>
      </c>
      <c r="F122">
        <f t="shared" si="6"/>
        <v>1428.7142960006609</v>
      </c>
      <c r="G122">
        <f t="shared" si="8"/>
        <v>15.554871280705235</v>
      </c>
    </row>
    <row r="123" spans="1:7" x14ac:dyDescent="0.25">
      <c r="A123" s="15">
        <v>1</v>
      </c>
      <c r="B123" s="15">
        <v>233</v>
      </c>
      <c r="C123">
        <f t="shared" si="9"/>
        <v>277.01850349090233</v>
      </c>
      <c r="D123">
        <f t="shared" si="7"/>
        <v>-44.018503490902333</v>
      </c>
      <c r="E123">
        <f t="shared" si="5"/>
        <v>44.018503490902333</v>
      </c>
      <c r="F123">
        <f t="shared" si="6"/>
        <v>1937.628649578581</v>
      </c>
      <c r="G123">
        <f t="shared" si="8"/>
        <v>18.892061584078252</v>
      </c>
    </row>
    <row r="124" spans="1:7" x14ac:dyDescent="0.25">
      <c r="A124" s="15">
        <v>2</v>
      </c>
      <c r="B124" s="15">
        <v>230</v>
      </c>
      <c r="C124">
        <f t="shared" si="9"/>
        <v>272.61665314181209</v>
      </c>
      <c r="D124">
        <f t="shared" si="7"/>
        <v>-42.616653141812094</v>
      </c>
      <c r="E124">
        <f t="shared" si="5"/>
        <v>42.616653141812094</v>
      </c>
      <c r="F124">
        <f t="shared" si="6"/>
        <v>1816.1791250095225</v>
      </c>
      <c r="G124">
        <f t="shared" si="8"/>
        <v>18.528979626874822</v>
      </c>
    </row>
    <row r="125" spans="1:7" x14ac:dyDescent="0.25">
      <c r="A125" s="15">
        <v>3</v>
      </c>
      <c r="B125" s="15">
        <v>284</v>
      </c>
      <c r="C125">
        <f t="shared" si="9"/>
        <v>268.35498782763091</v>
      </c>
      <c r="D125">
        <f t="shared" si="7"/>
        <v>15.645012172369093</v>
      </c>
      <c r="E125">
        <f t="shared" si="5"/>
        <v>15.645012172369093</v>
      </c>
      <c r="F125">
        <f t="shared" si="6"/>
        <v>244.76640587357707</v>
      </c>
      <c r="G125">
        <f t="shared" si="8"/>
        <v>5.5088071029468635</v>
      </c>
    </row>
    <row r="126" spans="1:7" x14ac:dyDescent="0.25">
      <c r="A126" s="15">
        <v>4</v>
      </c>
      <c r="B126" s="15">
        <v>343</v>
      </c>
      <c r="C126">
        <f t="shared" si="9"/>
        <v>269.91948904486782</v>
      </c>
      <c r="D126">
        <f t="shared" si="7"/>
        <v>73.080510955132183</v>
      </c>
      <c r="E126">
        <f t="shared" si="5"/>
        <v>73.080510955132183</v>
      </c>
      <c r="F126">
        <f t="shared" si="6"/>
        <v>5340.7610814631953</v>
      </c>
      <c r="G126">
        <f t="shared" si="8"/>
        <v>21.306271415490432</v>
      </c>
    </row>
    <row r="127" spans="1:7" x14ac:dyDescent="0.25">
      <c r="A127" s="15">
        <v>5</v>
      </c>
      <c r="B127" s="15">
        <v>359</v>
      </c>
      <c r="C127">
        <f t="shared" si="9"/>
        <v>277.22754014038105</v>
      </c>
      <c r="D127">
        <f t="shared" si="7"/>
        <v>81.772459859618948</v>
      </c>
      <c r="E127">
        <f t="shared" si="5"/>
        <v>81.772459859618948</v>
      </c>
      <c r="F127">
        <f t="shared" si="6"/>
        <v>6686.7351914929923</v>
      </c>
      <c r="G127">
        <f t="shared" si="8"/>
        <v>22.777843972038706</v>
      </c>
    </row>
    <row r="128" spans="1:7" x14ac:dyDescent="0.25">
      <c r="A128" s="15">
        <v>6</v>
      </c>
      <c r="B128" s="15">
        <v>362</v>
      </c>
      <c r="C128">
        <f t="shared" si="9"/>
        <v>285.40478612634297</v>
      </c>
      <c r="D128">
        <f t="shared" si="7"/>
        <v>76.59521387365703</v>
      </c>
      <c r="E128">
        <f t="shared" si="5"/>
        <v>76.59521387365703</v>
      </c>
      <c r="F128">
        <f t="shared" si="6"/>
        <v>5866.8267883512626</v>
      </c>
      <c r="G128">
        <f t="shared" si="8"/>
        <v>21.15889886012625</v>
      </c>
    </row>
    <row r="129" spans="1:7" x14ac:dyDescent="0.25">
      <c r="A129" s="15">
        <v>7</v>
      </c>
      <c r="B129" s="15">
        <v>271</v>
      </c>
      <c r="C129">
        <f t="shared" si="9"/>
        <v>293.06430751370868</v>
      </c>
      <c r="D129">
        <f t="shared" si="7"/>
        <v>-22.064307513708684</v>
      </c>
      <c r="E129">
        <f t="shared" si="5"/>
        <v>22.064307513708684</v>
      </c>
      <c r="F129">
        <f t="shared" si="6"/>
        <v>486.83366605950147</v>
      </c>
      <c r="G129">
        <f t="shared" si="8"/>
        <v>8.1418108906674114</v>
      </c>
    </row>
    <row r="130" spans="1:7" x14ac:dyDescent="0.25">
      <c r="A130" s="15">
        <v>8</v>
      </c>
      <c r="B130" s="15">
        <v>153</v>
      </c>
      <c r="C130">
        <f t="shared" si="9"/>
        <v>290.85787676233787</v>
      </c>
      <c r="D130">
        <f t="shared" si="7"/>
        <v>-137.85787676233787</v>
      </c>
      <c r="E130">
        <f t="shared" si="5"/>
        <v>137.85787676233787</v>
      </c>
      <c r="F130">
        <f t="shared" si="6"/>
        <v>19004.794185419934</v>
      </c>
      <c r="G130">
        <f t="shared" si="8"/>
        <v>90.103187426364613</v>
      </c>
    </row>
    <row r="131" spans="1:7" x14ac:dyDescent="0.25">
      <c r="A131" s="15">
        <v>9</v>
      </c>
      <c r="B131" s="15">
        <v>231</v>
      </c>
      <c r="C131">
        <f t="shared" si="9"/>
        <v>277.07208908610409</v>
      </c>
      <c r="D131">
        <f t="shared" si="7"/>
        <v>-46.072089086104086</v>
      </c>
      <c r="E131">
        <f t="shared" ref="E131:E134" si="10">ABS(D131)</f>
        <v>46.072089086104086</v>
      </c>
      <c r="F131">
        <f t="shared" ref="F131:F134" si="11">D131^2</f>
        <v>2122.6373927579111</v>
      </c>
      <c r="G131">
        <f t="shared" si="8"/>
        <v>19.944627310001771</v>
      </c>
    </row>
    <row r="132" spans="1:7" x14ac:dyDescent="0.25">
      <c r="A132" s="15">
        <v>10</v>
      </c>
      <c r="B132" s="15">
        <v>163</v>
      </c>
      <c r="C132">
        <f t="shared" si="9"/>
        <v>272.46488017749368</v>
      </c>
      <c r="D132">
        <f t="shared" ref="D132:D134" si="12">B132-C132</f>
        <v>-109.46488017749368</v>
      </c>
      <c r="E132">
        <f t="shared" si="10"/>
        <v>109.46488017749368</v>
      </c>
      <c r="F132">
        <f t="shared" si="11"/>
        <v>11982.559992273049</v>
      </c>
      <c r="G132">
        <f t="shared" ref="G132:G134" si="13">(E132/B132)*100</f>
        <v>67.156368207051344</v>
      </c>
    </row>
    <row r="133" spans="1:7" x14ac:dyDescent="0.25">
      <c r="A133" s="15">
        <v>11</v>
      </c>
      <c r="B133" s="15">
        <v>272</v>
      </c>
      <c r="C133">
        <f t="shared" ref="C133:C134" si="14">(B132*B$141)+(1-B$141)*C132</f>
        <v>261.51839215974434</v>
      </c>
      <c r="D133">
        <f t="shared" si="12"/>
        <v>10.481607840255663</v>
      </c>
      <c r="E133">
        <f t="shared" si="10"/>
        <v>10.481607840255663</v>
      </c>
      <c r="F133">
        <f t="shared" si="11"/>
        <v>109.86410291690898</v>
      </c>
      <c r="G133">
        <f t="shared" si="13"/>
        <v>3.8535322942116408</v>
      </c>
    </row>
    <row r="134" spans="1:7" x14ac:dyDescent="0.25">
      <c r="A134" s="15">
        <v>12</v>
      </c>
      <c r="B134" s="15">
        <v>249</v>
      </c>
      <c r="C134">
        <f t="shared" si="14"/>
        <v>262.56655294376992</v>
      </c>
      <c r="D134">
        <f t="shared" si="12"/>
        <v>-13.566552943769921</v>
      </c>
      <c r="E134">
        <f t="shared" si="10"/>
        <v>13.566552943769921</v>
      </c>
      <c r="F134">
        <f t="shared" si="11"/>
        <v>184.05135877611229</v>
      </c>
      <c r="G134">
        <f t="shared" si="13"/>
        <v>5.44841483685539</v>
      </c>
    </row>
    <row r="141" spans="1:7" x14ac:dyDescent="0.25">
      <c r="A141" s="14" t="s">
        <v>27</v>
      </c>
      <c r="B141">
        <v>0.1</v>
      </c>
      <c r="E141" s="18" t="s">
        <v>33</v>
      </c>
      <c r="F141" s="18" t="s">
        <v>34</v>
      </c>
      <c r="G141" s="18" t="s">
        <v>35</v>
      </c>
    </row>
    <row r="142" spans="1:7" x14ac:dyDescent="0.25">
      <c r="A142" s="14" t="s">
        <v>28</v>
      </c>
      <c r="B142">
        <v>0.1</v>
      </c>
      <c r="E142">
        <f>SUM(F3:F134)/COUNT(F3:F134)</f>
        <v>9959.1394747063114</v>
      </c>
      <c r="F142">
        <f>SUM(E3:E134)/COUNT(E3:E134)</f>
        <v>68.137167229644689</v>
      </c>
      <c r="G142">
        <f>SUM(G3:G134)/COUNT(G3:G134)</f>
        <v>36.433885053189968</v>
      </c>
    </row>
  </sheetData>
  <pageMargins left="0.7" right="0.7" top="0.75" bottom="0.75" header="0.3" footer="0.3"/>
  <ignoredErrors>
    <ignoredError sqref="C2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5"/>
  <sheetViews>
    <sheetView workbookViewId="0">
      <pane ySplit="1" topLeftCell="A110" activePane="bottomLeft" state="frozen"/>
      <selection pane="bottomLeft" activeCell="I140" sqref="I140"/>
    </sheetView>
  </sheetViews>
  <sheetFormatPr defaultRowHeight="13.2" x14ac:dyDescent="0.25"/>
  <cols>
    <col min="10" max="10" width="20.109375" customWidth="1"/>
  </cols>
  <sheetData>
    <row r="1" spans="1:11" s="18" customFormat="1" x14ac:dyDescent="0.25">
      <c r="A1" s="17" t="s">
        <v>14</v>
      </c>
      <c r="B1" s="17" t="s">
        <v>13</v>
      </c>
      <c r="D1" s="18" t="s">
        <v>94</v>
      </c>
      <c r="E1" s="18" t="s">
        <v>29</v>
      </c>
      <c r="F1" s="18" t="s">
        <v>30</v>
      </c>
      <c r="G1" s="18" t="s">
        <v>31</v>
      </c>
      <c r="H1" s="18" t="s">
        <v>95</v>
      </c>
      <c r="J1" s="18" t="s">
        <v>96</v>
      </c>
      <c r="K1" s="18" t="s">
        <v>97</v>
      </c>
    </row>
    <row r="2" spans="1:11" x14ac:dyDescent="0.25">
      <c r="A2" s="15">
        <v>1</v>
      </c>
      <c r="B2" s="15">
        <v>233</v>
      </c>
    </row>
    <row r="3" spans="1:11" x14ac:dyDescent="0.25">
      <c r="A3" s="15">
        <v>2</v>
      </c>
      <c r="B3" s="15">
        <v>106</v>
      </c>
    </row>
    <row r="4" spans="1:11" x14ac:dyDescent="0.25">
      <c r="A4" s="15">
        <v>3</v>
      </c>
      <c r="B4" s="15">
        <v>177</v>
      </c>
    </row>
    <row r="5" spans="1:11" x14ac:dyDescent="0.25">
      <c r="A5" s="15">
        <v>4</v>
      </c>
      <c r="B5" s="15">
        <v>175</v>
      </c>
    </row>
    <row r="6" spans="1:11" x14ac:dyDescent="0.25">
      <c r="A6" s="15">
        <v>5</v>
      </c>
      <c r="B6" s="15">
        <v>178</v>
      </c>
    </row>
    <row r="7" spans="1:11" x14ac:dyDescent="0.25">
      <c r="A7" s="15">
        <v>6</v>
      </c>
      <c r="B7" s="15">
        <v>170</v>
      </c>
    </row>
    <row r="8" spans="1:11" x14ac:dyDescent="0.25">
      <c r="A8" s="15">
        <v>7</v>
      </c>
      <c r="B8" s="15">
        <v>199</v>
      </c>
    </row>
    <row r="9" spans="1:11" x14ac:dyDescent="0.25">
      <c r="A9" s="15">
        <v>8</v>
      </c>
      <c r="B9" s="15">
        <v>117</v>
      </c>
    </row>
    <row r="10" spans="1:11" x14ac:dyDescent="0.25">
      <c r="A10" s="15">
        <v>9</v>
      </c>
      <c r="B10" s="15">
        <v>122</v>
      </c>
    </row>
    <row r="11" spans="1:11" x14ac:dyDescent="0.25">
      <c r="A11" s="15">
        <v>10</v>
      </c>
      <c r="B11" s="15">
        <v>136</v>
      </c>
    </row>
    <row r="12" spans="1:11" x14ac:dyDescent="0.25">
      <c r="A12" s="15">
        <v>11</v>
      </c>
      <c r="B12" s="15">
        <v>130</v>
      </c>
    </row>
    <row r="13" spans="1:11" x14ac:dyDescent="0.25">
      <c r="A13" s="15">
        <v>12</v>
      </c>
      <c r="B13" s="15">
        <v>68</v>
      </c>
    </row>
    <row r="14" spans="1:11" x14ac:dyDescent="0.25">
      <c r="A14" s="15">
        <v>1</v>
      </c>
      <c r="B14" s="15">
        <v>179</v>
      </c>
      <c r="D14">
        <f>B2</f>
        <v>233</v>
      </c>
      <c r="E14">
        <f>B14-D14</f>
        <v>-54</v>
      </c>
      <c r="F14">
        <f t="shared" ref="F14:F67" si="0">ABS(E14)</f>
        <v>54</v>
      </c>
      <c r="G14">
        <f t="shared" ref="G14:G67" si="1">E14^2</f>
        <v>2916</v>
      </c>
      <c r="H14">
        <f t="shared" ref="H14:H67" si="2">(F14/B14)*100</f>
        <v>30.16759776536313</v>
      </c>
      <c r="J14">
        <f t="shared" ref="J14:J67" si="3">((D14-B14)/B13)^2</f>
        <v>0.63062283737024216</v>
      </c>
      <c r="K14">
        <f>((B14-B13)/B13)^2</f>
        <v>2.6645761245674739</v>
      </c>
    </row>
    <row r="15" spans="1:11" x14ac:dyDescent="0.25">
      <c r="A15" s="15">
        <v>2</v>
      </c>
      <c r="B15" s="15">
        <v>104</v>
      </c>
      <c r="D15">
        <f t="shared" ref="D15:D78" si="4">B3</f>
        <v>106</v>
      </c>
      <c r="E15">
        <f t="shared" ref="E15:E78" si="5">B15-D15</f>
        <v>-2</v>
      </c>
      <c r="F15">
        <f t="shared" si="0"/>
        <v>2</v>
      </c>
      <c r="G15">
        <f t="shared" si="1"/>
        <v>4</v>
      </c>
      <c r="H15">
        <f t="shared" si="2"/>
        <v>1.9230769230769231</v>
      </c>
      <c r="J15">
        <f t="shared" si="3"/>
        <v>1.2484004868761899E-4</v>
      </c>
      <c r="K15">
        <f t="shared" ref="K15:K78" si="6">((B15-B14)/B14)^2</f>
        <v>0.17555631846696421</v>
      </c>
    </row>
    <row r="16" spans="1:11" x14ac:dyDescent="0.25">
      <c r="A16" s="15">
        <v>3</v>
      </c>
      <c r="B16" s="15">
        <v>133</v>
      </c>
      <c r="D16">
        <f t="shared" si="4"/>
        <v>177</v>
      </c>
      <c r="E16">
        <f t="shared" si="5"/>
        <v>-44</v>
      </c>
      <c r="F16">
        <f t="shared" si="0"/>
        <v>44</v>
      </c>
      <c r="G16">
        <f t="shared" si="1"/>
        <v>1936</v>
      </c>
      <c r="H16">
        <f t="shared" si="2"/>
        <v>33.082706766917291</v>
      </c>
      <c r="J16">
        <f t="shared" si="3"/>
        <v>0.17899408284023668</v>
      </c>
      <c r="K16">
        <f t="shared" si="6"/>
        <v>7.7755177514792898E-2</v>
      </c>
    </row>
    <row r="17" spans="1:11" x14ac:dyDescent="0.25">
      <c r="A17" s="15">
        <v>4</v>
      </c>
      <c r="B17" s="15">
        <v>163</v>
      </c>
      <c r="D17">
        <f t="shared" si="4"/>
        <v>175</v>
      </c>
      <c r="E17">
        <f t="shared" si="5"/>
        <v>-12</v>
      </c>
      <c r="F17">
        <f t="shared" si="0"/>
        <v>12</v>
      </c>
      <c r="G17">
        <f t="shared" si="1"/>
        <v>144</v>
      </c>
      <c r="H17">
        <f t="shared" si="2"/>
        <v>7.3619631901840492</v>
      </c>
      <c r="J17">
        <f t="shared" si="3"/>
        <v>8.14065238283679E-3</v>
      </c>
      <c r="K17">
        <f t="shared" si="6"/>
        <v>5.0879077392729941E-2</v>
      </c>
    </row>
    <row r="18" spans="1:11" x14ac:dyDescent="0.25">
      <c r="A18" s="15">
        <v>5</v>
      </c>
      <c r="B18" s="15">
        <v>175</v>
      </c>
      <c r="D18">
        <f t="shared" si="4"/>
        <v>178</v>
      </c>
      <c r="E18">
        <f t="shared" si="5"/>
        <v>-3</v>
      </c>
      <c r="F18">
        <f t="shared" si="0"/>
        <v>3</v>
      </c>
      <c r="G18">
        <f t="shared" si="1"/>
        <v>9</v>
      </c>
      <c r="H18">
        <f t="shared" si="2"/>
        <v>1.7142857142857144</v>
      </c>
      <c r="J18">
        <f t="shared" si="3"/>
        <v>3.387406375851557E-4</v>
      </c>
      <c r="K18">
        <f t="shared" si="6"/>
        <v>5.4198502013624913E-3</v>
      </c>
    </row>
    <row r="19" spans="1:11" x14ac:dyDescent="0.25">
      <c r="A19" s="15">
        <v>6</v>
      </c>
      <c r="B19" s="15">
        <v>163</v>
      </c>
      <c r="D19">
        <f t="shared" si="4"/>
        <v>170</v>
      </c>
      <c r="E19">
        <f t="shared" si="5"/>
        <v>-7</v>
      </c>
      <c r="F19">
        <f t="shared" si="0"/>
        <v>7</v>
      </c>
      <c r="G19">
        <f t="shared" si="1"/>
        <v>49</v>
      </c>
      <c r="H19">
        <f t="shared" si="2"/>
        <v>4.294478527607362</v>
      </c>
      <c r="J19">
        <f t="shared" si="3"/>
        <v>1.6000000000000001E-3</v>
      </c>
      <c r="K19">
        <f t="shared" si="6"/>
        <v>4.7020408163265309E-3</v>
      </c>
    </row>
    <row r="20" spans="1:11" x14ac:dyDescent="0.25">
      <c r="A20" s="15">
        <v>7</v>
      </c>
      <c r="B20" s="15">
        <v>156</v>
      </c>
      <c r="D20">
        <f t="shared" si="4"/>
        <v>199</v>
      </c>
      <c r="E20">
        <f t="shared" si="5"/>
        <v>-43</v>
      </c>
      <c r="F20">
        <f t="shared" si="0"/>
        <v>43</v>
      </c>
      <c r="G20">
        <f t="shared" si="1"/>
        <v>1849</v>
      </c>
      <c r="H20">
        <f t="shared" si="2"/>
        <v>27.564102564102566</v>
      </c>
      <c r="J20">
        <f t="shared" si="3"/>
        <v>6.9592382099439187E-2</v>
      </c>
      <c r="K20">
        <f t="shared" si="6"/>
        <v>1.8442545824080697E-3</v>
      </c>
    </row>
    <row r="21" spans="1:11" x14ac:dyDescent="0.25">
      <c r="A21" s="15">
        <v>8</v>
      </c>
      <c r="B21" s="15">
        <v>123</v>
      </c>
      <c r="D21">
        <f t="shared" si="4"/>
        <v>117</v>
      </c>
      <c r="E21">
        <f t="shared" si="5"/>
        <v>6</v>
      </c>
      <c r="F21">
        <f t="shared" si="0"/>
        <v>6</v>
      </c>
      <c r="G21">
        <f t="shared" si="1"/>
        <v>36</v>
      </c>
      <c r="H21">
        <f t="shared" si="2"/>
        <v>4.8780487804878048</v>
      </c>
      <c r="J21">
        <f t="shared" si="3"/>
        <v>1.4792899408284025E-3</v>
      </c>
      <c r="K21">
        <f t="shared" si="6"/>
        <v>4.4748520710059171E-2</v>
      </c>
    </row>
    <row r="22" spans="1:11" x14ac:dyDescent="0.25">
      <c r="A22" s="15">
        <v>9</v>
      </c>
      <c r="B22" s="15">
        <v>145</v>
      </c>
      <c r="D22">
        <f t="shared" si="4"/>
        <v>122</v>
      </c>
      <c r="E22">
        <f t="shared" si="5"/>
        <v>23</v>
      </c>
      <c r="F22">
        <f t="shared" si="0"/>
        <v>23</v>
      </c>
      <c r="G22">
        <f t="shared" si="1"/>
        <v>529</v>
      </c>
      <c r="H22">
        <f t="shared" si="2"/>
        <v>15.862068965517242</v>
      </c>
      <c r="J22">
        <f t="shared" si="3"/>
        <v>3.4965959415691715E-2</v>
      </c>
      <c r="K22">
        <f t="shared" si="6"/>
        <v>3.1991539427589401E-2</v>
      </c>
    </row>
    <row r="23" spans="1:11" x14ac:dyDescent="0.25">
      <c r="A23" s="15">
        <v>10</v>
      </c>
      <c r="B23" s="15">
        <v>197</v>
      </c>
      <c r="D23">
        <f t="shared" si="4"/>
        <v>136</v>
      </c>
      <c r="E23">
        <f t="shared" si="5"/>
        <v>61</v>
      </c>
      <c r="F23">
        <f t="shared" si="0"/>
        <v>61</v>
      </c>
      <c r="G23">
        <f t="shared" si="1"/>
        <v>3721</v>
      </c>
      <c r="H23">
        <f t="shared" si="2"/>
        <v>30.964467005076141</v>
      </c>
      <c r="J23">
        <f t="shared" si="3"/>
        <v>0.17697978596908442</v>
      </c>
      <c r="K23">
        <f t="shared" si="6"/>
        <v>0.12860879904875147</v>
      </c>
    </row>
    <row r="24" spans="1:11" x14ac:dyDescent="0.25">
      <c r="A24" s="15">
        <v>11</v>
      </c>
      <c r="B24" s="15">
        <v>187</v>
      </c>
      <c r="D24">
        <f t="shared" si="4"/>
        <v>130</v>
      </c>
      <c r="E24">
        <f t="shared" si="5"/>
        <v>57</v>
      </c>
      <c r="F24">
        <f t="shared" si="0"/>
        <v>57</v>
      </c>
      <c r="G24">
        <f t="shared" si="1"/>
        <v>3249</v>
      </c>
      <c r="H24">
        <f t="shared" si="2"/>
        <v>30.481283422459892</v>
      </c>
      <c r="J24">
        <f t="shared" si="3"/>
        <v>8.3717694349248875E-2</v>
      </c>
      <c r="K24">
        <f t="shared" si="6"/>
        <v>2.5767218944059366E-3</v>
      </c>
    </row>
    <row r="25" spans="1:11" x14ac:dyDescent="0.25">
      <c r="A25" s="15">
        <v>12</v>
      </c>
      <c r="B25" s="15">
        <v>139</v>
      </c>
      <c r="D25">
        <f t="shared" si="4"/>
        <v>68</v>
      </c>
      <c r="E25">
        <f t="shared" si="5"/>
        <v>71</v>
      </c>
      <c r="F25">
        <f t="shared" si="0"/>
        <v>71</v>
      </c>
      <c r="G25">
        <f t="shared" si="1"/>
        <v>5041</v>
      </c>
      <c r="H25">
        <f t="shared" si="2"/>
        <v>51.079136690647488</v>
      </c>
      <c r="J25">
        <f t="shared" si="3"/>
        <v>0.14415625268094601</v>
      </c>
      <c r="K25">
        <f t="shared" si="6"/>
        <v>6.5886928422316929E-2</v>
      </c>
    </row>
    <row r="26" spans="1:11" x14ac:dyDescent="0.25">
      <c r="A26" s="15">
        <v>1</v>
      </c>
      <c r="B26" s="15">
        <v>293</v>
      </c>
      <c r="D26">
        <f t="shared" si="4"/>
        <v>179</v>
      </c>
      <c r="E26">
        <f t="shared" si="5"/>
        <v>114</v>
      </c>
      <c r="F26">
        <f t="shared" si="0"/>
        <v>114</v>
      </c>
      <c r="G26">
        <f t="shared" si="1"/>
        <v>12996</v>
      </c>
      <c r="H26">
        <f t="shared" si="2"/>
        <v>38.907849829351534</v>
      </c>
      <c r="J26">
        <f t="shared" si="3"/>
        <v>0.67263599192588375</v>
      </c>
      <c r="K26">
        <f t="shared" si="6"/>
        <v>1.2274726981005124</v>
      </c>
    </row>
    <row r="27" spans="1:11" x14ac:dyDescent="0.25">
      <c r="A27" s="15">
        <v>2</v>
      </c>
      <c r="B27" s="15">
        <v>157</v>
      </c>
      <c r="D27">
        <f t="shared" si="4"/>
        <v>104</v>
      </c>
      <c r="E27">
        <f t="shared" si="5"/>
        <v>53</v>
      </c>
      <c r="F27">
        <f t="shared" si="0"/>
        <v>53</v>
      </c>
      <c r="G27">
        <f t="shared" si="1"/>
        <v>2809</v>
      </c>
      <c r="H27">
        <f t="shared" si="2"/>
        <v>33.757961783439491</v>
      </c>
      <c r="J27">
        <f t="shared" si="3"/>
        <v>3.2720241354005287E-2</v>
      </c>
      <c r="K27">
        <f t="shared" si="6"/>
        <v>0.21544805414157417</v>
      </c>
    </row>
    <row r="28" spans="1:11" x14ac:dyDescent="0.25">
      <c r="A28" s="15">
        <v>3</v>
      </c>
      <c r="B28" s="15">
        <v>168</v>
      </c>
      <c r="D28">
        <f t="shared" si="4"/>
        <v>133</v>
      </c>
      <c r="E28">
        <f t="shared" si="5"/>
        <v>35</v>
      </c>
      <c r="F28">
        <f t="shared" si="0"/>
        <v>35</v>
      </c>
      <c r="G28">
        <f t="shared" si="1"/>
        <v>1225</v>
      </c>
      <c r="H28">
        <f t="shared" si="2"/>
        <v>20.833333333333336</v>
      </c>
      <c r="J28">
        <f t="shared" si="3"/>
        <v>4.9697756501277945E-2</v>
      </c>
      <c r="K28">
        <f t="shared" si="6"/>
        <v>4.9089212544119439E-3</v>
      </c>
    </row>
    <row r="29" spans="1:11" x14ac:dyDescent="0.25">
      <c r="A29" s="15">
        <v>4</v>
      </c>
      <c r="B29" s="15">
        <v>174</v>
      </c>
      <c r="D29">
        <f t="shared" si="4"/>
        <v>163</v>
      </c>
      <c r="E29">
        <f t="shared" si="5"/>
        <v>11</v>
      </c>
      <c r="F29">
        <f t="shared" si="0"/>
        <v>11</v>
      </c>
      <c r="G29">
        <f t="shared" si="1"/>
        <v>121</v>
      </c>
      <c r="H29">
        <f t="shared" si="2"/>
        <v>6.3218390804597711</v>
      </c>
      <c r="J29">
        <f t="shared" si="3"/>
        <v>4.2871315192743766E-3</v>
      </c>
      <c r="K29">
        <f t="shared" si="6"/>
        <v>1.2755102040816326E-3</v>
      </c>
    </row>
    <row r="30" spans="1:11" x14ac:dyDescent="0.25">
      <c r="A30" s="15">
        <v>5</v>
      </c>
      <c r="B30" s="15">
        <v>342</v>
      </c>
      <c r="D30">
        <f t="shared" si="4"/>
        <v>175</v>
      </c>
      <c r="E30">
        <f t="shared" si="5"/>
        <v>167</v>
      </c>
      <c r="F30">
        <f t="shared" si="0"/>
        <v>167</v>
      </c>
      <c r="G30">
        <f t="shared" si="1"/>
        <v>27889</v>
      </c>
      <c r="H30">
        <f t="shared" si="2"/>
        <v>48.830409356725148</v>
      </c>
      <c r="J30">
        <f t="shared" si="3"/>
        <v>0.92115867353679481</v>
      </c>
      <c r="K30">
        <f t="shared" si="6"/>
        <v>0.93222354340071356</v>
      </c>
    </row>
    <row r="31" spans="1:11" x14ac:dyDescent="0.25">
      <c r="A31" s="15">
        <v>6</v>
      </c>
      <c r="B31" s="15">
        <v>227</v>
      </c>
      <c r="D31">
        <f t="shared" si="4"/>
        <v>163</v>
      </c>
      <c r="E31">
        <f t="shared" si="5"/>
        <v>64</v>
      </c>
      <c r="F31">
        <f t="shared" si="0"/>
        <v>64</v>
      </c>
      <c r="G31">
        <f t="shared" si="1"/>
        <v>4096</v>
      </c>
      <c r="H31">
        <f t="shared" si="2"/>
        <v>28.193832599118945</v>
      </c>
      <c r="J31">
        <f t="shared" si="3"/>
        <v>3.5019322184603803E-2</v>
      </c>
      <c r="K31">
        <f t="shared" si="6"/>
        <v>0.11306897848910777</v>
      </c>
    </row>
    <row r="32" spans="1:11" x14ac:dyDescent="0.25">
      <c r="A32" s="15">
        <v>7</v>
      </c>
      <c r="B32" s="15">
        <v>207</v>
      </c>
      <c r="D32">
        <f t="shared" si="4"/>
        <v>156</v>
      </c>
      <c r="E32">
        <f t="shared" si="5"/>
        <v>51</v>
      </c>
      <c r="F32">
        <f t="shared" si="0"/>
        <v>51</v>
      </c>
      <c r="G32">
        <f t="shared" si="1"/>
        <v>2601</v>
      </c>
      <c r="H32">
        <f t="shared" si="2"/>
        <v>24.637681159420293</v>
      </c>
      <c r="J32">
        <f t="shared" si="3"/>
        <v>5.0476430747734287E-2</v>
      </c>
      <c r="K32">
        <f t="shared" si="6"/>
        <v>7.7626191076869341E-3</v>
      </c>
    </row>
    <row r="33" spans="1:11" x14ac:dyDescent="0.25">
      <c r="A33" s="15">
        <v>8</v>
      </c>
      <c r="B33" s="15">
        <v>150</v>
      </c>
      <c r="D33">
        <f t="shared" si="4"/>
        <v>123</v>
      </c>
      <c r="E33">
        <f t="shared" si="5"/>
        <v>27</v>
      </c>
      <c r="F33">
        <f t="shared" si="0"/>
        <v>27</v>
      </c>
      <c r="G33">
        <f t="shared" si="1"/>
        <v>729</v>
      </c>
      <c r="H33">
        <f t="shared" si="2"/>
        <v>18</v>
      </c>
      <c r="J33">
        <f t="shared" si="3"/>
        <v>1.7013232514177693E-2</v>
      </c>
      <c r="K33">
        <f t="shared" si="6"/>
        <v>7.5824406637261074E-2</v>
      </c>
    </row>
    <row r="34" spans="1:11" x14ac:dyDescent="0.25">
      <c r="A34" s="15">
        <v>9</v>
      </c>
      <c r="B34" s="15">
        <v>171</v>
      </c>
      <c r="D34">
        <f t="shared" si="4"/>
        <v>145</v>
      </c>
      <c r="E34">
        <f t="shared" si="5"/>
        <v>26</v>
      </c>
      <c r="F34">
        <f t="shared" si="0"/>
        <v>26</v>
      </c>
      <c r="G34">
        <f t="shared" si="1"/>
        <v>676</v>
      </c>
      <c r="H34">
        <f t="shared" si="2"/>
        <v>15.204678362573098</v>
      </c>
      <c r="J34">
        <f t="shared" si="3"/>
        <v>3.0044444444444447E-2</v>
      </c>
      <c r="K34">
        <f t="shared" si="6"/>
        <v>1.9600000000000003E-2</v>
      </c>
    </row>
    <row r="35" spans="1:11" x14ac:dyDescent="0.25">
      <c r="A35" s="15">
        <v>10</v>
      </c>
      <c r="B35" s="15">
        <v>217</v>
      </c>
      <c r="D35">
        <f t="shared" si="4"/>
        <v>197</v>
      </c>
      <c r="E35">
        <f t="shared" si="5"/>
        <v>20</v>
      </c>
      <c r="F35">
        <f t="shared" si="0"/>
        <v>20</v>
      </c>
      <c r="G35">
        <f t="shared" si="1"/>
        <v>400</v>
      </c>
      <c r="H35">
        <f t="shared" si="2"/>
        <v>9.216589861751153</v>
      </c>
      <c r="J35">
        <f t="shared" si="3"/>
        <v>1.3679422728360861E-2</v>
      </c>
      <c r="K35">
        <f t="shared" si="6"/>
        <v>7.2364146233028961E-2</v>
      </c>
    </row>
    <row r="36" spans="1:11" x14ac:dyDescent="0.25">
      <c r="A36" s="15">
        <v>11</v>
      </c>
      <c r="B36" s="15">
        <v>149</v>
      </c>
      <c r="D36">
        <f t="shared" si="4"/>
        <v>187</v>
      </c>
      <c r="E36">
        <f t="shared" si="5"/>
        <v>-38</v>
      </c>
      <c r="F36">
        <f t="shared" si="0"/>
        <v>38</v>
      </c>
      <c r="G36">
        <f t="shared" si="1"/>
        <v>1444</v>
      </c>
      <c r="H36">
        <f t="shared" si="2"/>
        <v>25.503355704697988</v>
      </c>
      <c r="J36">
        <f t="shared" si="3"/>
        <v>3.0665335853384015E-2</v>
      </c>
      <c r="K36">
        <f t="shared" si="6"/>
        <v>9.8197031153772624E-2</v>
      </c>
    </row>
    <row r="37" spans="1:11" x14ac:dyDescent="0.25">
      <c r="A37" s="15">
        <v>12</v>
      </c>
      <c r="B37" s="15">
        <v>178</v>
      </c>
      <c r="D37">
        <f t="shared" si="4"/>
        <v>139</v>
      </c>
      <c r="E37">
        <f t="shared" si="5"/>
        <v>39</v>
      </c>
      <c r="F37">
        <f t="shared" si="0"/>
        <v>39</v>
      </c>
      <c r="G37">
        <f t="shared" si="1"/>
        <v>1521</v>
      </c>
      <c r="H37">
        <f t="shared" si="2"/>
        <v>21.910112359550563</v>
      </c>
      <c r="J37">
        <f t="shared" si="3"/>
        <v>6.8510427458222611E-2</v>
      </c>
      <c r="K37">
        <f t="shared" si="6"/>
        <v>3.7881176523580015E-2</v>
      </c>
    </row>
    <row r="38" spans="1:11" x14ac:dyDescent="0.25">
      <c r="A38" s="15">
        <v>1</v>
      </c>
      <c r="B38" s="15">
        <v>223</v>
      </c>
      <c r="D38">
        <f t="shared" si="4"/>
        <v>293</v>
      </c>
      <c r="E38">
        <f t="shared" si="5"/>
        <v>-70</v>
      </c>
      <c r="F38">
        <f t="shared" si="0"/>
        <v>70</v>
      </c>
      <c r="G38">
        <f t="shared" si="1"/>
        <v>4900</v>
      </c>
      <c r="H38">
        <f t="shared" si="2"/>
        <v>31.390134529147986</v>
      </c>
      <c r="J38">
        <f t="shared" si="3"/>
        <v>0.15465219038000252</v>
      </c>
      <c r="K38">
        <f t="shared" si="6"/>
        <v>6.3912384799899011E-2</v>
      </c>
    </row>
    <row r="39" spans="1:11" x14ac:dyDescent="0.25">
      <c r="A39" s="15">
        <v>2</v>
      </c>
      <c r="B39" s="15">
        <v>159</v>
      </c>
      <c r="D39">
        <f t="shared" si="4"/>
        <v>157</v>
      </c>
      <c r="E39">
        <f t="shared" si="5"/>
        <v>2</v>
      </c>
      <c r="F39">
        <f t="shared" si="0"/>
        <v>2</v>
      </c>
      <c r="G39">
        <f t="shared" si="1"/>
        <v>4</v>
      </c>
      <c r="H39">
        <f t="shared" si="2"/>
        <v>1.257861635220126</v>
      </c>
      <c r="J39">
        <f t="shared" si="3"/>
        <v>8.0435962919021088E-5</v>
      </c>
      <c r="K39">
        <f t="shared" si="6"/>
        <v>8.2366426029077594E-2</v>
      </c>
    </row>
    <row r="40" spans="1:11" x14ac:dyDescent="0.25">
      <c r="A40" s="15">
        <v>3</v>
      </c>
      <c r="B40" s="15">
        <v>310</v>
      </c>
      <c r="D40">
        <f t="shared" si="4"/>
        <v>168</v>
      </c>
      <c r="E40">
        <f t="shared" si="5"/>
        <v>142</v>
      </c>
      <c r="F40">
        <f t="shared" si="0"/>
        <v>142</v>
      </c>
      <c r="G40">
        <f t="shared" si="1"/>
        <v>20164</v>
      </c>
      <c r="H40">
        <f t="shared" si="2"/>
        <v>45.806451612903224</v>
      </c>
      <c r="J40">
        <f t="shared" si="3"/>
        <v>0.7975950318420949</v>
      </c>
      <c r="K40">
        <f t="shared" si="6"/>
        <v>0.9019026146117638</v>
      </c>
    </row>
    <row r="41" spans="1:11" x14ac:dyDescent="0.25">
      <c r="A41" s="15">
        <v>4</v>
      </c>
      <c r="B41" s="15">
        <v>370</v>
      </c>
      <c r="D41">
        <f t="shared" si="4"/>
        <v>174</v>
      </c>
      <c r="E41">
        <f t="shared" si="5"/>
        <v>196</v>
      </c>
      <c r="F41">
        <f t="shared" si="0"/>
        <v>196</v>
      </c>
      <c r="G41">
        <f t="shared" si="1"/>
        <v>38416</v>
      </c>
      <c r="H41">
        <f t="shared" si="2"/>
        <v>52.972972972972975</v>
      </c>
      <c r="J41">
        <f t="shared" si="3"/>
        <v>0.39975026014568149</v>
      </c>
      <c r="K41">
        <f t="shared" si="6"/>
        <v>3.7460978147762745E-2</v>
      </c>
    </row>
    <row r="42" spans="1:11" x14ac:dyDescent="0.25">
      <c r="A42" s="15">
        <v>5</v>
      </c>
      <c r="B42" s="15">
        <v>282</v>
      </c>
      <c r="D42">
        <f t="shared" si="4"/>
        <v>342</v>
      </c>
      <c r="E42">
        <f t="shared" si="5"/>
        <v>-60</v>
      </c>
      <c r="F42">
        <f t="shared" si="0"/>
        <v>60</v>
      </c>
      <c r="G42">
        <f t="shared" si="1"/>
        <v>3600</v>
      </c>
      <c r="H42">
        <f t="shared" si="2"/>
        <v>21.276595744680851</v>
      </c>
      <c r="J42">
        <f t="shared" si="3"/>
        <v>2.629656683710738E-2</v>
      </c>
      <c r="K42">
        <f t="shared" si="6"/>
        <v>5.6566837107377657E-2</v>
      </c>
    </row>
    <row r="43" spans="1:11" x14ac:dyDescent="0.25">
      <c r="A43" s="15">
        <v>6</v>
      </c>
      <c r="B43" s="15">
        <v>225</v>
      </c>
      <c r="D43">
        <f t="shared" si="4"/>
        <v>227</v>
      </c>
      <c r="E43">
        <f t="shared" si="5"/>
        <v>-2</v>
      </c>
      <c r="F43">
        <f t="shared" si="0"/>
        <v>2</v>
      </c>
      <c r="G43">
        <f t="shared" si="1"/>
        <v>4</v>
      </c>
      <c r="H43">
        <f t="shared" si="2"/>
        <v>0.88888888888888884</v>
      </c>
      <c r="J43">
        <f t="shared" si="3"/>
        <v>5.0299280720285695E-5</v>
      </c>
      <c r="K43">
        <f t="shared" si="6"/>
        <v>4.0855590765052054E-2</v>
      </c>
    </row>
    <row r="44" spans="1:11" x14ac:dyDescent="0.25">
      <c r="A44" s="15">
        <v>7</v>
      </c>
      <c r="B44" s="15">
        <v>216</v>
      </c>
      <c r="D44">
        <f t="shared" si="4"/>
        <v>207</v>
      </c>
      <c r="E44">
        <f t="shared" si="5"/>
        <v>9</v>
      </c>
      <c r="F44">
        <f t="shared" si="0"/>
        <v>9</v>
      </c>
      <c r="G44">
        <f t="shared" si="1"/>
        <v>81</v>
      </c>
      <c r="H44">
        <f t="shared" si="2"/>
        <v>4.1666666666666661</v>
      </c>
      <c r="J44">
        <f t="shared" si="3"/>
        <v>1.6000000000000001E-3</v>
      </c>
      <c r="K44">
        <f t="shared" si="6"/>
        <v>1.6000000000000001E-3</v>
      </c>
    </row>
    <row r="45" spans="1:11" x14ac:dyDescent="0.25">
      <c r="A45" s="15">
        <v>8</v>
      </c>
      <c r="B45" s="15">
        <v>130</v>
      </c>
      <c r="D45">
        <f t="shared" si="4"/>
        <v>150</v>
      </c>
      <c r="E45">
        <f t="shared" si="5"/>
        <v>-20</v>
      </c>
      <c r="F45">
        <f t="shared" si="0"/>
        <v>20</v>
      </c>
      <c r="G45">
        <f t="shared" si="1"/>
        <v>400</v>
      </c>
      <c r="H45">
        <f t="shared" si="2"/>
        <v>15.384615384615385</v>
      </c>
      <c r="J45">
        <f t="shared" si="3"/>
        <v>8.5733882030178312E-3</v>
      </c>
      <c r="K45">
        <f t="shared" si="6"/>
        <v>0.15852194787379972</v>
      </c>
    </row>
    <row r="46" spans="1:11" x14ac:dyDescent="0.25">
      <c r="A46" s="15">
        <v>9</v>
      </c>
      <c r="B46" s="15">
        <v>206</v>
      </c>
      <c r="D46">
        <f t="shared" si="4"/>
        <v>171</v>
      </c>
      <c r="E46">
        <f t="shared" si="5"/>
        <v>35</v>
      </c>
      <c r="F46">
        <f t="shared" si="0"/>
        <v>35</v>
      </c>
      <c r="G46">
        <f t="shared" si="1"/>
        <v>1225</v>
      </c>
      <c r="H46">
        <f t="shared" si="2"/>
        <v>16.990291262135923</v>
      </c>
      <c r="J46">
        <f t="shared" si="3"/>
        <v>7.2485207100591711E-2</v>
      </c>
      <c r="K46">
        <f t="shared" si="6"/>
        <v>0.34177514792899411</v>
      </c>
    </row>
    <row r="47" spans="1:11" x14ac:dyDescent="0.25">
      <c r="A47" s="15">
        <v>10</v>
      </c>
      <c r="B47" s="15">
        <v>147</v>
      </c>
      <c r="D47">
        <f t="shared" si="4"/>
        <v>217</v>
      </c>
      <c r="E47">
        <f t="shared" si="5"/>
        <v>-70</v>
      </c>
      <c r="F47">
        <f t="shared" si="0"/>
        <v>70</v>
      </c>
      <c r="G47">
        <f t="shared" si="1"/>
        <v>4900</v>
      </c>
      <c r="H47">
        <f t="shared" si="2"/>
        <v>47.619047619047613</v>
      </c>
      <c r="J47">
        <f t="shared" si="3"/>
        <v>0.11546799886888492</v>
      </c>
      <c r="K47">
        <f t="shared" si="6"/>
        <v>8.2029408992364966E-2</v>
      </c>
    </row>
    <row r="48" spans="1:11" x14ac:dyDescent="0.25">
      <c r="A48" s="15">
        <v>11</v>
      </c>
      <c r="B48" s="15">
        <v>197</v>
      </c>
      <c r="D48">
        <f t="shared" si="4"/>
        <v>149</v>
      </c>
      <c r="E48">
        <f t="shared" si="5"/>
        <v>48</v>
      </c>
      <c r="F48">
        <f t="shared" si="0"/>
        <v>48</v>
      </c>
      <c r="G48">
        <f t="shared" si="1"/>
        <v>2304</v>
      </c>
      <c r="H48">
        <f t="shared" si="2"/>
        <v>24.36548223350254</v>
      </c>
      <c r="J48">
        <f t="shared" si="3"/>
        <v>0.10662224073302788</v>
      </c>
      <c r="K48">
        <f t="shared" si="6"/>
        <v>0.1156925355176084</v>
      </c>
    </row>
    <row r="49" spans="1:11" x14ac:dyDescent="0.25">
      <c r="A49" s="15">
        <v>12</v>
      </c>
      <c r="B49" s="15">
        <v>203</v>
      </c>
      <c r="D49">
        <f t="shared" si="4"/>
        <v>178</v>
      </c>
      <c r="E49">
        <f t="shared" si="5"/>
        <v>25</v>
      </c>
      <c r="F49">
        <f t="shared" si="0"/>
        <v>25</v>
      </c>
      <c r="G49">
        <f t="shared" si="1"/>
        <v>625</v>
      </c>
      <c r="H49">
        <f t="shared" si="2"/>
        <v>12.315270935960591</v>
      </c>
      <c r="J49">
        <f t="shared" si="3"/>
        <v>1.6104511840037104E-2</v>
      </c>
      <c r="K49">
        <f t="shared" si="6"/>
        <v>9.2761988198613731E-4</v>
      </c>
    </row>
    <row r="50" spans="1:11" x14ac:dyDescent="0.25">
      <c r="A50" s="15">
        <v>1</v>
      </c>
      <c r="B50" s="15">
        <v>160</v>
      </c>
      <c r="D50">
        <f t="shared" si="4"/>
        <v>223</v>
      </c>
      <c r="E50">
        <f t="shared" si="5"/>
        <v>-63</v>
      </c>
      <c r="F50">
        <f t="shared" si="0"/>
        <v>63</v>
      </c>
      <c r="G50">
        <f t="shared" si="1"/>
        <v>3969</v>
      </c>
      <c r="H50">
        <f t="shared" si="2"/>
        <v>39.375</v>
      </c>
      <c r="J50">
        <f t="shared" si="3"/>
        <v>9.631391200951249E-2</v>
      </c>
      <c r="K50">
        <f t="shared" si="6"/>
        <v>4.486883933121405E-2</v>
      </c>
    </row>
    <row r="51" spans="1:11" x14ac:dyDescent="0.25">
      <c r="A51" s="15">
        <v>2</v>
      </c>
      <c r="B51" s="15">
        <v>181</v>
      </c>
      <c r="D51">
        <f t="shared" si="4"/>
        <v>159</v>
      </c>
      <c r="E51">
        <f t="shared" si="5"/>
        <v>22</v>
      </c>
      <c r="F51">
        <f t="shared" si="0"/>
        <v>22</v>
      </c>
      <c r="G51">
        <f t="shared" si="1"/>
        <v>484</v>
      </c>
      <c r="H51">
        <f t="shared" si="2"/>
        <v>12.154696132596685</v>
      </c>
      <c r="J51">
        <f t="shared" si="3"/>
        <v>1.8906250000000003E-2</v>
      </c>
      <c r="K51">
        <f t="shared" si="6"/>
        <v>1.7226562500000001E-2</v>
      </c>
    </row>
    <row r="52" spans="1:11" x14ac:dyDescent="0.25">
      <c r="A52" s="15">
        <v>3</v>
      </c>
      <c r="B52" s="15">
        <v>225</v>
      </c>
      <c r="D52">
        <f t="shared" si="4"/>
        <v>310</v>
      </c>
      <c r="E52">
        <f t="shared" si="5"/>
        <v>-85</v>
      </c>
      <c r="F52">
        <f t="shared" si="0"/>
        <v>85</v>
      </c>
      <c r="G52">
        <f t="shared" si="1"/>
        <v>7225</v>
      </c>
      <c r="H52">
        <f t="shared" si="2"/>
        <v>37.777777777777779</v>
      </c>
      <c r="J52">
        <f t="shared" si="3"/>
        <v>0.22053661365648181</v>
      </c>
      <c r="K52">
        <f t="shared" si="6"/>
        <v>5.909465523030432E-2</v>
      </c>
    </row>
    <row r="53" spans="1:11" x14ac:dyDescent="0.25">
      <c r="A53" s="15">
        <v>4</v>
      </c>
      <c r="B53" s="15">
        <v>417</v>
      </c>
      <c r="D53">
        <f t="shared" si="4"/>
        <v>370</v>
      </c>
      <c r="E53">
        <f t="shared" si="5"/>
        <v>47</v>
      </c>
      <c r="F53">
        <f t="shared" si="0"/>
        <v>47</v>
      </c>
      <c r="G53">
        <f t="shared" si="1"/>
        <v>2209</v>
      </c>
      <c r="H53">
        <f t="shared" si="2"/>
        <v>11.270983213429256</v>
      </c>
      <c r="J53">
        <f t="shared" si="3"/>
        <v>4.3634567901234572E-2</v>
      </c>
      <c r="K53">
        <f t="shared" si="6"/>
        <v>0.72817777777777792</v>
      </c>
    </row>
    <row r="54" spans="1:11" x14ac:dyDescent="0.25">
      <c r="A54" s="15">
        <v>5</v>
      </c>
      <c r="B54" s="15">
        <v>442</v>
      </c>
      <c r="D54">
        <f t="shared" si="4"/>
        <v>282</v>
      </c>
      <c r="E54">
        <f t="shared" si="5"/>
        <v>160</v>
      </c>
      <c r="F54">
        <f t="shared" si="0"/>
        <v>160</v>
      </c>
      <c r="G54">
        <f t="shared" si="1"/>
        <v>25600</v>
      </c>
      <c r="H54">
        <f t="shared" si="2"/>
        <v>36.199095022624434</v>
      </c>
      <c r="J54">
        <f t="shared" si="3"/>
        <v>0.14722035321383181</v>
      </c>
      <c r="K54">
        <f t="shared" si="6"/>
        <v>3.5942469046345658E-3</v>
      </c>
    </row>
    <row r="55" spans="1:11" x14ac:dyDescent="0.25">
      <c r="A55" s="15">
        <v>6</v>
      </c>
      <c r="B55" s="15">
        <v>245</v>
      </c>
      <c r="D55">
        <f t="shared" si="4"/>
        <v>225</v>
      </c>
      <c r="E55">
        <f t="shared" si="5"/>
        <v>20</v>
      </c>
      <c r="F55">
        <f t="shared" si="0"/>
        <v>20</v>
      </c>
      <c r="G55">
        <f t="shared" si="1"/>
        <v>400</v>
      </c>
      <c r="H55">
        <f t="shared" si="2"/>
        <v>8.1632653061224492</v>
      </c>
      <c r="J55">
        <f t="shared" si="3"/>
        <v>2.0474601257140517E-3</v>
      </c>
      <c r="K55">
        <f t="shared" si="6"/>
        <v>0.19864970004709159</v>
      </c>
    </row>
    <row r="56" spans="1:11" x14ac:dyDescent="0.25">
      <c r="A56" s="15">
        <v>7</v>
      </c>
      <c r="B56" s="15">
        <v>263</v>
      </c>
      <c r="D56">
        <f t="shared" si="4"/>
        <v>216</v>
      </c>
      <c r="E56">
        <f t="shared" si="5"/>
        <v>47</v>
      </c>
      <c r="F56">
        <f t="shared" si="0"/>
        <v>47</v>
      </c>
      <c r="G56">
        <f t="shared" si="1"/>
        <v>2209</v>
      </c>
      <c r="H56">
        <f t="shared" si="2"/>
        <v>17.870722433460077</v>
      </c>
      <c r="J56">
        <f t="shared" si="3"/>
        <v>3.6801332778009163E-2</v>
      </c>
      <c r="K56">
        <f t="shared" si="6"/>
        <v>5.397750937109539E-3</v>
      </c>
    </row>
    <row r="57" spans="1:11" x14ac:dyDescent="0.25">
      <c r="A57" s="15">
        <v>8</v>
      </c>
      <c r="B57" s="15">
        <v>118</v>
      </c>
      <c r="D57">
        <f t="shared" si="4"/>
        <v>130</v>
      </c>
      <c r="E57">
        <f t="shared" si="5"/>
        <v>-12</v>
      </c>
      <c r="F57">
        <f t="shared" si="0"/>
        <v>12</v>
      </c>
      <c r="G57">
        <f t="shared" si="1"/>
        <v>144</v>
      </c>
      <c r="H57">
        <f t="shared" si="2"/>
        <v>10.16949152542373</v>
      </c>
      <c r="J57">
        <f t="shared" si="3"/>
        <v>2.0818574795067155E-3</v>
      </c>
      <c r="K57">
        <f t="shared" si="6"/>
        <v>0.30396564935158821</v>
      </c>
    </row>
    <row r="58" spans="1:11" x14ac:dyDescent="0.25">
      <c r="A58" s="15">
        <v>9</v>
      </c>
      <c r="B58" s="15">
        <v>144</v>
      </c>
      <c r="D58">
        <f t="shared" si="4"/>
        <v>206</v>
      </c>
      <c r="E58">
        <f t="shared" si="5"/>
        <v>-62</v>
      </c>
      <c r="F58">
        <f t="shared" si="0"/>
        <v>62</v>
      </c>
      <c r="G58">
        <f t="shared" si="1"/>
        <v>3844</v>
      </c>
      <c r="H58">
        <f t="shared" si="2"/>
        <v>43.055555555555557</v>
      </c>
      <c r="J58">
        <f t="shared" si="3"/>
        <v>0.27607009480034478</v>
      </c>
      <c r="K58">
        <f t="shared" si="6"/>
        <v>4.8549267451881643E-2</v>
      </c>
    </row>
    <row r="59" spans="1:11" x14ac:dyDescent="0.25">
      <c r="A59" s="15">
        <v>10</v>
      </c>
      <c r="B59" s="15">
        <v>144</v>
      </c>
      <c r="D59">
        <f t="shared" si="4"/>
        <v>147</v>
      </c>
      <c r="E59">
        <f t="shared" si="5"/>
        <v>-3</v>
      </c>
      <c r="F59">
        <f t="shared" si="0"/>
        <v>3</v>
      </c>
      <c r="G59">
        <f t="shared" si="1"/>
        <v>9</v>
      </c>
      <c r="H59">
        <f t="shared" si="2"/>
        <v>2.083333333333333</v>
      </c>
      <c r="J59">
        <f t="shared" si="3"/>
        <v>4.3402777777777775E-4</v>
      </c>
      <c r="K59">
        <f t="shared" si="6"/>
        <v>0</v>
      </c>
    </row>
    <row r="60" spans="1:11" x14ac:dyDescent="0.25">
      <c r="A60" s="15">
        <v>11</v>
      </c>
      <c r="B60" s="15">
        <v>188</v>
      </c>
      <c r="D60">
        <f t="shared" si="4"/>
        <v>197</v>
      </c>
      <c r="E60">
        <f t="shared" si="5"/>
        <v>-9</v>
      </c>
      <c r="F60">
        <f t="shared" si="0"/>
        <v>9</v>
      </c>
      <c r="G60">
        <f t="shared" si="1"/>
        <v>81</v>
      </c>
      <c r="H60">
        <f t="shared" si="2"/>
        <v>4.7872340425531918</v>
      </c>
      <c r="J60">
        <f t="shared" si="3"/>
        <v>3.90625E-3</v>
      </c>
      <c r="K60">
        <f t="shared" si="6"/>
        <v>9.336419753086421E-2</v>
      </c>
    </row>
    <row r="61" spans="1:11" x14ac:dyDescent="0.25">
      <c r="A61" s="15">
        <v>12</v>
      </c>
      <c r="B61" s="15">
        <v>91</v>
      </c>
      <c r="D61">
        <f t="shared" si="4"/>
        <v>203</v>
      </c>
      <c r="E61">
        <f t="shared" si="5"/>
        <v>-112</v>
      </c>
      <c r="F61">
        <f t="shared" si="0"/>
        <v>112</v>
      </c>
      <c r="G61">
        <f t="shared" si="1"/>
        <v>12544</v>
      </c>
      <c r="H61">
        <f t="shared" si="2"/>
        <v>123.07692307692308</v>
      </c>
      <c r="J61">
        <f t="shared" si="3"/>
        <v>0.35491172476233585</v>
      </c>
      <c r="K61">
        <f t="shared" si="6"/>
        <v>0.26621208691715709</v>
      </c>
    </row>
    <row r="62" spans="1:11" x14ac:dyDescent="0.25">
      <c r="A62" s="15">
        <v>1</v>
      </c>
      <c r="B62" s="15">
        <v>310</v>
      </c>
      <c r="D62">
        <f t="shared" si="4"/>
        <v>160</v>
      </c>
      <c r="E62">
        <f t="shared" si="5"/>
        <v>150</v>
      </c>
      <c r="F62">
        <f t="shared" si="0"/>
        <v>150</v>
      </c>
      <c r="G62">
        <f t="shared" si="1"/>
        <v>22500</v>
      </c>
      <c r="H62">
        <f t="shared" si="2"/>
        <v>48.387096774193552</v>
      </c>
      <c r="J62">
        <f t="shared" si="3"/>
        <v>2.7170631566235959</v>
      </c>
      <c r="K62">
        <f t="shared" si="6"/>
        <v>5.7916918246588569</v>
      </c>
    </row>
    <row r="63" spans="1:11" x14ac:dyDescent="0.25">
      <c r="A63" s="15">
        <v>2</v>
      </c>
      <c r="B63" s="15">
        <v>226</v>
      </c>
      <c r="D63">
        <f t="shared" si="4"/>
        <v>181</v>
      </c>
      <c r="E63">
        <f t="shared" si="5"/>
        <v>45</v>
      </c>
      <c r="F63">
        <f t="shared" si="0"/>
        <v>45</v>
      </c>
      <c r="G63">
        <f t="shared" si="1"/>
        <v>2025</v>
      </c>
      <c r="H63">
        <f t="shared" si="2"/>
        <v>19.911504424778762</v>
      </c>
      <c r="J63">
        <f t="shared" si="3"/>
        <v>2.1071800208116546E-2</v>
      </c>
      <c r="K63">
        <f t="shared" si="6"/>
        <v>7.3423517169614996E-2</v>
      </c>
    </row>
    <row r="64" spans="1:11" x14ac:dyDescent="0.25">
      <c r="A64" s="15">
        <v>3</v>
      </c>
      <c r="B64" s="15">
        <v>254</v>
      </c>
      <c r="D64">
        <f t="shared" si="4"/>
        <v>225</v>
      </c>
      <c r="E64">
        <f t="shared" si="5"/>
        <v>29</v>
      </c>
      <c r="F64">
        <f t="shared" si="0"/>
        <v>29</v>
      </c>
      <c r="G64">
        <f t="shared" si="1"/>
        <v>841</v>
      </c>
      <c r="H64">
        <f t="shared" si="2"/>
        <v>11.41732283464567</v>
      </c>
      <c r="J64">
        <f t="shared" si="3"/>
        <v>1.6465659017934061E-2</v>
      </c>
      <c r="K64">
        <f t="shared" si="6"/>
        <v>1.53496749941264E-2</v>
      </c>
    </row>
    <row r="65" spans="1:11" x14ac:dyDescent="0.25">
      <c r="A65" s="15">
        <v>4</v>
      </c>
      <c r="B65" s="15">
        <v>385</v>
      </c>
      <c r="D65">
        <f t="shared" si="4"/>
        <v>417</v>
      </c>
      <c r="E65">
        <f t="shared" si="5"/>
        <v>-32</v>
      </c>
      <c r="F65">
        <f t="shared" si="0"/>
        <v>32</v>
      </c>
      <c r="G65">
        <f t="shared" si="1"/>
        <v>1024</v>
      </c>
      <c r="H65">
        <f t="shared" si="2"/>
        <v>8.3116883116883109</v>
      </c>
      <c r="J65">
        <f t="shared" si="3"/>
        <v>1.5872031744063486E-2</v>
      </c>
      <c r="K65">
        <f t="shared" si="6"/>
        <v>0.26599603199206395</v>
      </c>
    </row>
    <row r="66" spans="1:11" x14ac:dyDescent="0.25">
      <c r="A66" s="15">
        <v>5</v>
      </c>
      <c r="B66" s="15">
        <v>318</v>
      </c>
      <c r="D66">
        <f t="shared" si="4"/>
        <v>442</v>
      </c>
      <c r="E66">
        <f t="shared" si="5"/>
        <v>-124</v>
      </c>
      <c r="F66">
        <f t="shared" si="0"/>
        <v>124</v>
      </c>
      <c r="G66">
        <f t="shared" si="1"/>
        <v>15376</v>
      </c>
      <c r="H66">
        <f t="shared" si="2"/>
        <v>38.9937106918239</v>
      </c>
      <c r="J66">
        <f t="shared" si="3"/>
        <v>0.10373418789003204</v>
      </c>
      <c r="K66">
        <f t="shared" si="6"/>
        <v>3.0285039635688987E-2</v>
      </c>
    </row>
    <row r="67" spans="1:11" x14ac:dyDescent="0.25">
      <c r="A67" s="15">
        <v>6</v>
      </c>
      <c r="B67" s="15">
        <v>318</v>
      </c>
      <c r="D67">
        <f t="shared" si="4"/>
        <v>245</v>
      </c>
      <c r="E67">
        <f t="shared" si="5"/>
        <v>73</v>
      </c>
      <c r="F67">
        <f t="shared" si="0"/>
        <v>73</v>
      </c>
      <c r="G67">
        <f t="shared" si="1"/>
        <v>5329</v>
      </c>
      <c r="H67">
        <f t="shared" si="2"/>
        <v>22.955974842767297</v>
      </c>
      <c r="J67">
        <f t="shared" si="3"/>
        <v>5.2697678098176499E-2</v>
      </c>
      <c r="K67">
        <f t="shared" si="6"/>
        <v>0</v>
      </c>
    </row>
    <row r="68" spans="1:11" x14ac:dyDescent="0.25">
      <c r="A68" s="15">
        <v>7</v>
      </c>
      <c r="B68" s="15">
        <v>181</v>
      </c>
      <c r="D68">
        <f t="shared" si="4"/>
        <v>263</v>
      </c>
      <c r="E68">
        <f t="shared" si="5"/>
        <v>-82</v>
      </c>
      <c r="F68">
        <f t="shared" ref="F68:F131" si="7">ABS(E68)</f>
        <v>82</v>
      </c>
      <c r="G68">
        <f t="shared" ref="G68:G131" si="8">E68^2</f>
        <v>6724</v>
      </c>
      <c r="H68">
        <f t="shared" ref="H68:H131" si="9">(F68/B68)*100</f>
        <v>45.303867403314918</v>
      </c>
      <c r="J68">
        <f t="shared" ref="J68:J131" si="10">((D68-B68)/B67)^2</f>
        <v>6.6492622918397221E-2</v>
      </c>
      <c r="K68">
        <f t="shared" si="6"/>
        <v>0.185603813140303</v>
      </c>
    </row>
    <row r="69" spans="1:11" x14ac:dyDescent="0.25">
      <c r="A69" s="15">
        <v>8</v>
      </c>
      <c r="B69" s="15">
        <v>173</v>
      </c>
      <c r="D69">
        <f t="shared" si="4"/>
        <v>118</v>
      </c>
      <c r="E69">
        <f t="shared" si="5"/>
        <v>55</v>
      </c>
      <c r="F69">
        <f t="shared" si="7"/>
        <v>55</v>
      </c>
      <c r="G69">
        <f t="shared" si="8"/>
        <v>3025</v>
      </c>
      <c r="H69">
        <f t="shared" si="9"/>
        <v>31.79190751445087</v>
      </c>
      <c r="J69">
        <f t="shared" si="10"/>
        <v>9.2335398797350504E-2</v>
      </c>
      <c r="K69">
        <f t="shared" si="6"/>
        <v>1.9535423216629527E-3</v>
      </c>
    </row>
    <row r="70" spans="1:11" x14ac:dyDescent="0.25">
      <c r="A70" s="15">
        <v>9</v>
      </c>
      <c r="B70" s="15">
        <v>248</v>
      </c>
      <c r="D70">
        <f t="shared" si="4"/>
        <v>144</v>
      </c>
      <c r="E70">
        <f t="shared" si="5"/>
        <v>104</v>
      </c>
      <c r="F70">
        <f t="shared" si="7"/>
        <v>104</v>
      </c>
      <c r="G70">
        <f t="shared" si="8"/>
        <v>10816</v>
      </c>
      <c r="H70">
        <f t="shared" si="9"/>
        <v>41.935483870967744</v>
      </c>
      <c r="J70">
        <f t="shared" si="10"/>
        <v>0.361388619733369</v>
      </c>
      <c r="K70">
        <f t="shared" si="6"/>
        <v>0.18794480269972269</v>
      </c>
    </row>
    <row r="71" spans="1:11" x14ac:dyDescent="0.25">
      <c r="A71" s="15">
        <v>10</v>
      </c>
      <c r="B71" s="15">
        <v>262</v>
      </c>
      <c r="D71">
        <f t="shared" si="4"/>
        <v>144</v>
      </c>
      <c r="E71">
        <f t="shared" si="5"/>
        <v>118</v>
      </c>
      <c r="F71">
        <f t="shared" si="7"/>
        <v>118</v>
      </c>
      <c r="G71">
        <f t="shared" si="8"/>
        <v>13924</v>
      </c>
      <c r="H71">
        <f t="shared" si="9"/>
        <v>45.038167938931295</v>
      </c>
      <c r="J71">
        <f t="shared" si="10"/>
        <v>0.22639177939646205</v>
      </c>
      <c r="K71">
        <f t="shared" si="6"/>
        <v>3.18678459937565E-3</v>
      </c>
    </row>
    <row r="72" spans="1:11" x14ac:dyDescent="0.25">
      <c r="A72" s="15">
        <v>11</v>
      </c>
      <c r="B72" s="15">
        <v>209</v>
      </c>
      <c r="D72">
        <f t="shared" si="4"/>
        <v>188</v>
      </c>
      <c r="E72">
        <f t="shared" si="5"/>
        <v>21</v>
      </c>
      <c r="F72">
        <f t="shared" si="7"/>
        <v>21</v>
      </c>
      <c r="G72">
        <f t="shared" si="8"/>
        <v>441</v>
      </c>
      <c r="H72">
        <f t="shared" si="9"/>
        <v>10.047846889952153</v>
      </c>
      <c r="J72">
        <f t="shared" si="10"/>
        <v>6.4244507895810255E-3</v>
      </c>
      <c r="K72">
        <f t="shared" si="6"/>
        <v>4.0921274983975298E-2</v>
      </c>
    </row>
    <row r="73" spans="1:11" x14ac:dyDescent="0.25">
      <c r="A73" s="15">
        <v>12</v>
      </c>
      <c r="B73" s="15">
        <v>201</v>
      </c>
      <c r="D73">
        <f t="shared" si="4"/>
        <v>91</v>
      </c>
      <c r="E73">
        <f t="shared" si="5"/>
        <v>110</v>
      </c>
      <c r="F73">
        <f t="shared" si="7"/>
        <v>110</v>
      </c>
      <c r="G73">
        <f t="shared" si="8"/>
        <v>12100</v>
      </c>
      <c r="H73">
        <f t="shared" si="9"/>
        <v>54.726368159203972</v>
      </c>
      <c r="J73">
        <f t="shared" si="10"/>
        <v>0.27700831024930744</v>
      </c>
      <c r="K73">
        <f t="shared" si="6"/>
        <v>1.4651679219798081E-3</v>
      </c>
    </row>
    <row r="74" spans="1:11" x14ac:dyDescent="0.25">
      <c r="A74" s="15">
        <v>1</v>
      </c>
      <c r="B74" s="15">
        <v>313</v>
      </c>
      <c r="D74">
        <f t="shared" si="4"/>
        <v>310</v>
      </c>
      <c r="E74">
        <f t="shared" si="5"/>
        <v>3</v>
      </c>
      <c r="F74">
        <f t="shared" si="7"/>
        <v>3</v>
      </c>
      <c r="G74">
        <f t="shared" si="8"/>
        <v>9</v>
      </c>
      <c r="H74">
        <f t="shared" si="9"/>
        <v>0.95846645367412142</v>
      </c>
      <c r="J74">
        <f t="shared" si="10"/>
        <v>2.227667631989307E-4</v>
      </c>
      <c r="K74">
        <f t="shared" si="6"/>
        <v>0.31048736417415412</v>
      </c>
    </row>
    <row r="75" spans="1:11" x14ac:dyDescent="0.25">
      <c r="A75" s="15">
        <v>2</v>
      </c>
      <c r="B75" s="15">
        <v>144</v>
      </c>
      <c r="D75">
        <f t="shared" si="4"/>
        <v>226</v>
      </c>
      <c r="E75">
        <f t="shared" si="5"/>
        <v>-82</v>
      </c>
      <c r="F75">
        <f t="shared" si="7"/>
        <v>82</v>
      </c>
      <c r="G75">
        <f t="shared" si="8"/>
        <v>6724</v>
      </c>
      <c r="H75">
        <f t="shared" si="9"/>
        <v>56.944444444444443</v>
      </c>
      <c r="J75">
        <f t="shared" si="10"/>
        <v>6.8633955639028688E-2</v>
      </c>
      <c r="K75">
        <f t="shared" si="6"/>
        <v>0.2915309944982597</v>
      </c>
    </row>
    <row r="76" spans="1:11" x14ac:dyDescent="0.25">
      <c r="A76" s="15">
        <v>3</v>
      </c>
      <c r="B76" s="15">
        <v>206</v>
      </c>
      <c r="D76">
        <f t="shared" si="4"/>
        <v>254</v>
      </c>
      <c r="E76">
        <f t="shared" si="5"/>
        <v>-48</v>
      </c>
      <c r="F76">
        <f t="shared" si="7"/>
        <v>48</v>
      </c>
      <c r="G76">
        <f t="shared" si="8"/>
        <v>2304</v>
      </c>
      <c r="H76">
        <f t="shared" si="9"/>
        <v>23.300970873786408</v>
      </c>
      <c r="J76">
        <f t="shared" si="10"/>
        <v>0.1111111111111111</v>
      </c>
      <c r="K76">
        <f t="shared" si="6"/>
        <v>0.18537808641975312</v>
      </c>
    </row>
    <row r="77" spans="1:11" x14ac:dyDescent="0.25">
      <c r="A77" s="15">
        <v>4</v>
      </c>
      <c r="B77" s="15">
        <v>300</v>
      </c>
      <c r="D77">
        <f t="shared" si="4"/>
        <v>385</v>
      </c>
      <c r="E77">
        <f t="shared" si="5"/>
        <v>-85</v>
      </c>
      <c r="F77">
        <f t="shared" si="7"/>
        <v>85</v>
      </c>
      <c r="G77">
        <f t="shared" si="8"/>
        <v>7225</v>
      </c>
      <c r="H77">
        <f t="shared" si="9"/>
        <v>28.333333333333332</v>
      </c>
      <c r="J77">
        <f t="shared" si="10"/>
        <v>0.17025638608728436</v>
      </c>
      <c r="K77">
        <f t="shared" si="6"/>
        <v>0.20821943632764636</v>
      </c>
    </row>
    <row r="78" spans="1:11" x14ac:dyDescent="0.25">
      <c r="A78" s="15">
        <v>5</v>
      </c>
      <c r="B78" s="15">
        <v>276</v>
      </c>
      <c r="D78">
        <f t="shared" si="4"/>
        <v>318</v>
      </c>
      <c r="E78">
        <f t="shared" si="5"/>
        <v>-42</v>
      </c>
      <c r="F78">
        <f t="shared" si="7"/>
        <v>42</v>
      </c>
      <c r="G78">
        <f t="shared" si="8"/>
        <v>1764</v>
      </c>
      <c r="H78">
        <f t="shared" si="9"/>
        <v>15.217391304347828</v>
      </c>
      <c r="J78">
        <f t="shared" si="10"/>
        <v>1.9600000000000003E-2</v>
      </c>
      <c r="K78">
        <f t="shared" si="6"/>
        <v>6.4000000000000003E-3</v>
      </c>
    </row>
    <row r="79" spans="1:11" x14ac:dyDescent="0.25">
      <c r="A79" s="15">
        <v>6</v>
      </c>
      <c r="B79" s="15">
        <v>296</v>
      </c>
      <c r="D79">
        <f t="shared" ref="D79:D133" si="11">B67</f>
        <v>318</v>
      </c>
      <c r="E79">
        <f t="shared" ref="E79:E133" si="12">B79-D79</f>
        <v>-22</v>
      </c>
      <c r="F79">
        <f t="shared" si="7"/>
        <v>22</v>
      </c>
      <c r="G79">
        <f t="shared" si="8"/>
        <v>484</v>
      </c>
      <c r="H79">
        <f t="shared" si="9"/>
        <v>7.4324324324324325</v>
      </c>
      <c r="J79">
        <f t="shared" si="10"/>
        <v>6.3537072043688293E-3</v>
      </c>
      <c r="K79">
        <f t="shared" ref="K79:K133" si="13">((B79-B78)/B78)^2</f>
        <v>5.2509976895610171E-3</v>
      </c>
    </row>
    <row r="80" spans="1:11" x14ac:dyDescent="0.25">
      <c r="A80" s="15">
        <v>7</v>
      </c>
      <c r="B80" s="15">
        <v>281</v>
      </c>
      <c r="D80">
        <f t="shared" si="11"/>
        <v>181</v>
      </c>
      <c r="E80">
        <f t="shared" si="12"/>
        <v>100</v>
      </c>
      <c r="F80">
        <f t="shared" si="7"/>
        <v>100</v>
      </c>
      <c r="G80">
        <f t="shared" si="8"/>
        <v>10000</v>
      </c>
      <c r="H80">
        <f t="shared" si="9"/>
        <v>35.587188612099645</v>
      </c>
      <c r="J80">
        <f t="shared" si="10"/>
        <v>0.11413440467494521</v>
      </c>
      <c r="K80">
        <f t="shared" si="13"/>
        <v>2.5680241051862676E-3</v>
      </c>
    </row>
    <row r="81" spans="1:11" x14ac:dyDescent="0.25">
      <c r="A81" s="15">
        <v>8</v>
      </c>
      <c r="B81" s="15">
        <v>335</v>
      </c>
      <c r="D81">
        <f t="shared" si="11"/>
        <v>173</v>
      </c>
      <c r="E81">
        <f t="shared" si="12"/>
        <v>162</v>
      </c>
      <c r="F81">
        <f t="shared" si="7"/>
        <v>162</v>
      </c>
      <c r="G81">
        <f t="shared" si="8"/>
        <v>26244</v>
      </c>
      <c r="H81">
        <f t="shared" si="9"/>
        <v>48.35820895522388</v>
      </c>
      <c r="J81">
        <f t="shared" si="10"/>
        <v>0.33236661136510431</v>
      </c>
      <c r="K81">
        <f t="shared" si="13"/>
        <v>3.6929623485011588E-2</v>
      </c>
    </row>
    <row r="82" spans="1:11" x14ac:dyDescent="0.25">
      <c r="A82" s="15">
        <v>9</v>
      </c>
      <c r="B82" s="15">
        <v>44</v>
      </c>
      <c r="D82">
        <f t="shared" si="11"/>
        <v>248</v>
      </c>
      <c r="E82">
        <f t="shared" si="12"/>
        <v>-204</v>
      </c>
      <c r="F82">
        <f t="shared" si="7"/>
        <v>204</v>
      </c>
      <c r="G82">
        <f t="shared" si="8"/>
        <v>41616</v>
      </c>
      <c r="H82">
        <f t="shared" si="9"/>
        <v>463.63636363636368</v>
      </c>
      <c r="J82">
        <f t="shared" si="10"/>
        <v>0.37082646469146796</v>
      </c>
      <c r="K82">
        <f t="shared" si="13"/>
        <v>0.75456449097794609</v>
      </c>
    </row>
    <row r="83" spans="1:11" x14ac:dyDescent="0.25">
      <c r="A83" s="15">
        <v>10</v>
      </c>
      <c r="B83" s="15">
        <v>195</v>
      </c>
      <c r="D83">
        <f t="shared" si="11"/>
        <v>262</v>
      </c>
      <c r="E83">
        <f t="shared" si="12"/>
        <v>-67</v>
      </c>
      <c r="F83">
        <f t="shared" si="7"/>
        <v>67</v>
      </c>
      <c r="G83">
        <f t="shared" si="8"/>
        <v>4489</v>
      </c>
      <c r="H83">
        <f t="shared" si="9"/>
        <v>34.358974358974358</v>
      </c>
      <c r="J83">
        <f t="shared" si="10"/>
        <v>2.3186983471074378</v>
      </c>
      <c r="K83">
        <f t="shared" si="13"/>
        <v>11.77737603305785</v>
      </c>
    </row>
    <row r="84" spans="1:11" x14ac:dyDescent="0.25">
      <c r="A84" s="15">
        <v>11</v>
      </c>
      <c r="B84" s="15">
        <v>141</v>
      </c>
      <c r="D84">
        <f t="shared" si="11"/>
        <v>209</v>
      </c>
      <c r="E84">
        <f t="shared" si="12"/>
        <v>-68</v>
      </c>
      <c r="F84">
        <f t="shared" si="7"/>
        <v>68</v>
      </c>
      <c r="G84">
        <f t="shared" si="8"/>
        <v>4624</v>
      </c>
      <c r="H84">
        <f t="shared" si="9"/>
        <v>48.226950354609926</v>
      </c>
      <c r="J84">
        <f t="shared" si="10"/>
        <v>0.1216042077580539</v>
      </c>
      <c r="K84">
        <f t="shared" si="13"/>
        <v>7.6686390532544391E-2</v>
      </c>
    </row>
    <row r="85" spans="1:11" x14ac:dyDescent="0.25">
      <c r="A85" s="15">
        <v>12</v>
      </c>
      <c r="B85" s="15">
        <v>131</v>
      </c>
      <c r="D85">
        <f t="shared" si="11"/>
        <v>201</v>
      </c>
      <c r="E85">
        <f t="shared" si="12"/>
        <v>-70</v>
      </c>
      <c r="F85">
        <f t="shared" si="7"/>
        <v>70</v>
      </c>
      <c r="G85">
        <f t="shared" si="8"/>
        <v>4900</v>
      </c>
      <c r="H85">
        <f t="shared" si="9"/>
        <v>53.435114503816791</v>
      </c>
      <c r="J85">
        <f t="shared" si="10"/>
        <v>0.24646647552939993</v>
      </c>
      <c r="K85">
        <f t="shared" si="13"/>
        <v>5.029928072028571E-3</v>
      </c>
    </row>
    <row r="86" spans="1:11" x14ac:dyDescent="0.25">
      <c r="A86" s="15">
        <v>1</v>
      </c>
      <c r="B86" s="15">
        <v>370</v>
      </c>
      <c r="D86">
        <f t="shared" si="11"/>
        <v>313</v>
      </c>
      <c r="E86">
        <f t="shared" si="12"/>
        <v>57</v>
      </c>
      <c r="F86">
        <f t="shared" si="7"/>
        <v>57</v>
      </c>
      <c r="G86">
        <f t="shared" si="8"/>
        <v>3249</v>
      </c>
      <c r="H86">
        <f t="shared" si="9"/>
        <v>15.405405405405407</v>
      </c>
      <c r="J86">
        <f t="shared" si="10"/>
        <v>0.18932463143173475</v>
      </c>
      <c r="K86">
        <f t="shared" si="13"/>
        <v>3.3285356331216129</v>
      </c>
    </row>
    <row r="87" spans="1:11" x14ac:dyDescent="0.25">
      <c r="A87" s="15">
        <v>2</v>
      </c>
      <c r="B87" s="15">
        <v>240</v>
      </c>
      <c r="D87">
        <f t="shared" si="11"/>
        <v>144</v>
      </c>
      <c r="E87">
        <f t="shared" si="12"/>
        <v>96</v>
      </c>
      <c r="F87">
        <f t="shared" si="7"/>
        <v>96</v>
      </c>
      <c r="G87">
        <f t="shared" si="8"/>
        <v>9216</v>
      </c>
      <c r="H87">
        <f t="shared" si="9"/>
        <v>40</v>
      </c>
      <c r="J87">
        <f t="shared" si="10"/>
        <v>6.7319211102994894E-2</v>
      </c>
      <c r="K87">
        <f t="shared" si="13"/>
        <v>0.12344777209642076</v>
      </c>
    </row>
    <row r="88" spans="1:11" x14ac:dyDescent="0.25">
      <c r="A88" s="15">
        <v>3</v>
      </c>
      <c r="B88" s="15">
        <v>219</v>
      </c>
      <c r="D88">
        <f t="shared" si="11"/>
        <v>206</v>
      </c>
      <c r="E88">
        <f t="shared" si="12"/>
        <v>13</v>
      </c>
      <c r="F88">
        <f t="shared" si="7"/>
        <v>13</v>
      </c>
      <c r="G88">
        <f t="shared" si="8"/>
        <v>169</v>
      </c>
      <c r="H88">
        <f t="shared" si="9"/>
        <v>5.93607305936073</v>
      </c>
      <c r="J88">
        <f t="shared" si="10"/>
        <v>2.934027777777778E-3</v>
      </c>
      <c r="K88">
        <f t="shared" si="13"/>
        <v>7.656249999999999E-3</v>
      </c>
    </row>
    <row r="89" spans="1:11" x14ac:dyDescent="0.25">
      <c r="A89" s="15">
        <v>4</v>
      </c>
      <c r="B89" s="15">
        <v>425</v>
      </c>
      <c r="D89">
        <f t="shared" si="11"/>
        <v>300</v>
      </c>
      <c r="E89">
        <f t="shared" si="12"/>
        <v>125</v>
      </c>
      <c r="F89">
        <f t="shared" si="7"/>
        <v>125</v>
      </c>
      <c r="G89">
        <f t="shared" si="8"/>
        <v>15625</v>
      </c>
      <c r="H89">
        <f t="shared" si="9"/>
        <v>29.411764705882355</v>
      </c>
      <c r="J89">
        <f t="shared" si="10"/>
        <v>0.32578553407977318</v>
      </c>
      <c r="K89">
        <f t="shared" si="13"/>
        <v>0.88480223514939216</v>
      </c>
    </row>
    <row r="90" spans="1:11" x14ac:dyDescent="0.25">
      <c r="A90" s="15">
        <v>5</v>
      </c>
      <c r="B90" s="15">
        <v>451</v>
      </c>
      <c r="D90">
        <f t="shared" si="11"/>
        <v>276</v>
      </c>
      <c r="E90">
        <f t="shared" si="12"/>
        <v>175</v>
      </c>
      <c r="F90">
        <f t="shared" si="7"/>
        <v>175</v>
      </c>
      <c r="G90">
        <f t="shared" si="8"/>
        <v>30625</v>
      </c>
      <c r="H90">
        <f t="shared" si="9"/>
        <v>38.802660753880261</v>
      </c>
      <c r="J90">
        <f t="shared" si="10"/>
        <v>0.16955017301038061</v>
      </c>
      <c r="K90">
        <f t="shared" si="13"/>
        <v>3.7425605536332185E-3</v>
      </c>
    </row>
    <row r="91" spans="1:11" x14ac:dyDescent="0.25">
      <c r="A91" s="15">
        <v>6</v>
      </c>
      <c r="B91" s="15">
        <v>386</v>
      </c>
      <c r="D91">
        <f t="shared" si="11"/>
        <v>296</v>
      </c>
      <c r="E91">
        <f t="shared" si="12"/>
        <v>90</v>
      </c>
      <c r="F91">
        <f t="shared" si="7"/>
        <v>90</v>
      </c>
      <c r="G91">
        <f t="shared" si="8"/>
        <v>8100</v>
      </c>
      <c r="H91">
        <f t="shared" si="9"/>
        <v>23.316062176165804</v>
      </c>
      <c r="J91">
        <f t="shared" si="10"/>
        <v>3.9822813063849244E-2</v>
      </c>
      <c r="K91">
        <f t="shared" si="13"/>
        <v>2.0771775949970751E-2</v>
      </c>
    </row>
    <row r="92" spans="1:11" x14ac:dyDescent="0.25">
      <c r="A92" s="15">
        <v>7</v>
      </c>
      <c r="B92" s="15">
        <v>545</v>
      </c>
      <c r="D92">
        <f t="shared" si="11"/>
        <v>281</v>
      </c>
      <c r="E92">
        <f t="shared" si="12"/>
        <v>264</v>
      </c>
      <c r="F92">
        <f t="shared" si="7"/>
        <v>264</v>
      </c>
      <c r="G92">
        <f t="shared" si="8"/>
        <v>69696</v>
      </c>
      <c r="H92">
        <f t="shared" si="9"/>
        <v>48.440366972477065</v>
      </c>
      <c r="J92">
        <f t="shared" si="10"/>
        <v>0.46777094687105691</v>
      </c>
      <c r="K92">
        <f t="shared" si="13"/>
        <v>0.16967569599183874</v>
      </c>
    </row>
    <row r="93" spans="1:11" x14ac:dyDescent="0.25">
      <c r="A93" s="15">
        <v>8</v>
      </c>
      <c r="B93" s="15">
        <v>828</v>
      </c>
      <c r="D93">
        <f t="shared" si="11"/>
        <v>335</v>
      </c>
      <c r="E93">
        <f t="shared" si="12"/>
        <v>493</v>
      </c>
      <c r="F93">
        <f t="shared" si="7"/>
        <v>493</v>
      </c>
      <c r="G93">
        <f t="shared" si="8"/>
        <v>243049</v>
      </c>
      <c r="H93">
        <f t="shared" si="9"/>
        <v>59.541062801932362</v>
      </c>
      <c r="J93">
        <f t="shared" si="10"/>
        <v>0.81827792273377664</v>
      </c>
      <c r="K93">
        <f t="shared" si="13"/>
        <v>0.26963723592290206</v>
      </c>
    </row>
    <row r="94" spans="1:11" x14ac:dyDescent="0.25">
      <c r="A94" s="15">
        <v>9</v>
      </c>
      <c r="B94" s="15">
        <v>65</v>
      </c>
      <c r="D94">
        <f t="shared" si="11"/>
        <v>44</v>
      </c>
      <c r="E94">
        <f t="shared" si="12"/>
        <v>21</v>
      </c>
      <c r="F94">
        <f t="shared" si="7"/>
        <v>21</v>
      </c>
      <c r="G94">
        <f t="shared" si="8"/>
        <v>441</v>
      </c>
      <c r="H94">
        <f t="shared" si="9"/>
        <v>32.307692307692307</v>
      </c>
      <c r="J94">
        <f t="shared" si="10"/>
        <v>6.4324721697122463E-4</v>
      </c>
      <c r="K94">
        <f t="shared" si="13"/>
        <v>0.84915779831501315</v>
      </c>
    </row>
    <row r="95" spans="1:11" x14ac:dyDescent="0.25">
      <c r="A95" s="15">
        <v>10</v>
      </c>
      <c r="B95" s="15">
        <v>121</v>
      </c>
      <c r="D95">
        <f t="shared" si="11"/>
        <v>195</v>
      </c>
      <c r="E95">
        <f t="shared" si="12"/>
        <v>-74</v>
      </c>
      <c r="F95">
        <f t="shared" si="7"/>
        <v>74</v>
      </c>
      <c r="G95">
        <f t="shared" si="8"/>
        <v>5476</v>
      </c>
      <c r="H95">
        <f t="shared" si="9"/>
        <v>61.157024793388423</v>
      </c>
      <c r="J95">
        <f t="shared" si="10"/>
        <v>1.296094674556213</v>
      </c>
      <c r="K95">
        <f t="shared" si="13"/>
        <v>0.7422485207100592</v>
      </c>
    </row>
    <row r="96" spans="1:11" x14ac:dyDescent="0.25">
      <c r="A96" s="15">
        <v>11</v>
      </c>
      <c r="B96" s="15">
        <v>254</v>
      </c>
      <c r="D96">
        <f t="shared" si="11"/>
        <v>141</v>
      </c>
      <c r="E96">
        <f t="shared" si="12"/>
        <v>113</v>
      </c>
      <c r="F96">
        <f t="shared" si="7"/>
        <v>113</v>
      </c>
      <c r="G96">
        <f t="shared" si="8"/>
        <v>12769</v>
      </c>
      <c r="H96">
        <f t="shared" si="9"/>
        <v>44.488188976377948</v>
      </c>
      <c r="J96">
        <f t="shared" si="10"/>
        <v>0.87213988115565877</v>
      </c>
      <c r="K96">
        <f t="shared" si="13"/>
        <v>1.2081825011952734</v>
      </c>
    </row>
    <row r="97" spans="1:11" x14ac:dyDescent="0.25">
      <c r="A97" s="15">
        <v>12</v>
      </c>
      <c r="B97" s="15">
        <v>116</v>
      </c>
      <c r="D97">
        <f t="shared" si="11"/>
        <v>131</v>
      </c>
      <c r="E97">
        <f t="shared" si="12"/>
        <v>-15</v>
      </c>
      <c r="F97">
        <f t="shared" si="7"/>
        <v>15</v>
      </c>
      <c r="G97">
        <f t="shared" si="8"/>
        <v>225</v>
      </c>
      <c r="H97">
        <f t="shared" si="9"/>
        <v>12.931034482758621</v>
      </c>
      <c r="J97">
        <f t="shared" si="10"/>
        <v>3.4875069750139498E-3</v>
      </c>
      <c r="K97">
        <f t="shared" si="13"/>
        <v>0.29518259036518074</v>
      </c>
    </row>
    <row r="98" spans="1:11" x14ac:dyDescent="0.25">
      <c r="A98" s="15">
        <v>1</v>
      </c>
      <c r="B98" s="15">
        <v>358</v>
      </c>
      <c r="D98">
        <f t="shared" si="11"/>
        <v>370</v>
      </c>
      <c r="E98">
        <f t="shared" si="12"/>
        <v>-12</v>
      </c>
      <c r="F98">
        <f t="shared" si="7"/>
        <v>12</v>
      </c>
      <c r="G98">
        <f t="shared" si="8"/>
        <v>144</v>
      </c>
      <c r="H98">
        <f t="shared" si="9"/>
        <v>3.3519553072625698</v>
      </c>
      <c r="J98">
        <f t="shared" si="10"/>
        <v>1.070154577883472E-2</v>
      </c>
      <c r="K98">
        <f t="shared" si="13"/>
        <v>4.3522592152199762</v>
      </c>
    </row>
    <row r="99" spans="1:11" x14ac:dyDescent="0.25">
      <c r="A99" s="15">
        <v>2</v>
      </c>
      <c r="B99" s="15">
        <v>190</v>
      </c>
      <c r="D99">
        <f t="shared" si="11"/>
        <v>240</v>
      </c>
      <c r="E99">
        <f t="shared" si="12"/>
        <v>-50</v>
      </c>
      <c r="F99">
        <f t="shared" si="7"/>
        <v>50</v>
      </c>
      <c r="G99">
        <f t="shared" si="8"/>
        <v>2500</v>
      </c>
      <c r="H99">
        <f t="shared" si="9"/>
        <v>26.315789473684209</v>
      </c>
      <c r="J99">
        <f t="shared" si="10"/>
        <v>1.9506257607440465E-2</v>
      </c>
      <c r="K99">
        <f t="shared" si="13"/>
        <v>0.22021784588495991</v>
      </c>
    </row>
    <row r="100" spans="1:11" x14ac:dyDescent="0.25">
      <c r="A100" s="15">
        <v>3</v>
      </c>
      <c r="B100" s="15">
        <v>108</v>
      </c>
      <c r="D100">
        <f t="shared" si="11"/>
        <v>219</v>
      </c>
      <c r="E100">
        <f t="shared" si="12"/>
        <v>-111</v>
      </c>
      <c r="F100">
        <f t="shared" si="7"/>
        <v>111</v>
      </c>
      <c r="G100">
        <f t="shared" si="8"/>
        <v>12321</v>
      </c>
      <c r="H100">
        <f t="shared" si="9"/>
        <v>102.77777777777777</v>
      </c>
      <c r="J100">
        <f t="shared" si="10"/>
        <v>0.3413019390581718</v>
      </c>
      <c r="K100">
        <f t="shared" si="13"/>
        <v>0.18626038781163437</v>
      </c>
    </row>
    <row r="101" spans="1:11" x14ac:dyDescent="0.25">
      <c r="A101" s="15">
        <v>4</v>
      </c>
      <c r="B101" s="15">
        <v>175</v>
      </c>
      <c r="D101">
        <f t="shared" si="11"/>
        <v>425</v>
      </c>
      <c r="E101">
        <f t="shared" si="12"/>
        <v>-250</v>
      </c>
      <c r="F101">
        <f t="shared" si="7"/>
        <v>250</v>
      </c>
      <c r="G101">
        <f t="shared" si="8"/>
        <v>62500</v>
      </c>
      <c r="H101">
        <f t="shared" si="9"/>
        <v>142.85714285714286</v>
      </c>
      <c r="J101">
        <f t="shared" si="10"/>
        <v>5.358367626886146</v>
      </c>
      <c r="K101">
        <f t="shared" si="13"/>
        <v>0.3848593964334705</v>
      </c>
    </row>
    <row r="102" spans="1:11" x14ac:dyDescent="0.25">
      <c r="A102" s="15">
        <v>5</v>
      </c>
      <c r="B102" s="15">
        <v>214</v>
      </c>
      <c r="D102">
        <f t="shared" si="11"/>
        <v>451</v>
      </c>
      <c r="E102">
        <f t="shared" si="12"/>
        <v>-237</v>
      </c>
      <c r="F102">
        <f t="shared" si="7"/>
        <v>237</v>
      </c>
      <c r="G102">
        <f t="shared" si="8"/>
        <v>56169</v>
      </c>
      <c r="H102">
        <f t="shared" si="9"/>
        <v>110.74766355140187</v>
      </c>
      <c r="J102">
        <f t="shared" si="10"/>
        <v>1.8340897959183675</v>
      </c>
      <c r="K102">
        <f t="shared" si="13"/>
        <v>4.9665306122448981E-2</v>
      </c>
    </row>
    <row r="103" spans="1:11" x14ac:dyDescent="0.25">
      <c r="A103" s="15">
        <v>6</v>
      </c>
      <c r="B103" s="15">
        <v>298</v>
      </c>
      <c r="D103">
        <f t="shared" si="11"/>
        <v>386</v>
      </c>
      <c r="E103">
        <f t="shared" si="12"/>
        <v>-88</v>
      </c>
      <c r="F103">
        <f t="shared" si="7"/>
        <v>88</v>
      </c>
      <c r="G103">
        <f t="shared" si="8"/>
        <v>7744</v>
      </c>
      <c r="H103">
        <f t="shared" si="9"/>
        <v>29.530201342281881</v>
      </c>
      <c r="J103">
        <f t="shared" si="10"/>
        <v>0.16909773779369378</v>
      </c>
      <c r="K103">
        <f t="shared" si="13"/>
        <v>0.15407459166739451</v>
      </c>
    </row>
    <row r="104" spans="1:11" x14ac:dyDescent="0.25">
      <c r="A104" s="15">
        <v>7</v>
      </c>
      <c r="B104" s="15">
        <v>326</v>
      </c>
      <c r="D104">
        <f t="shared" si="11"/>
        <v>545</v>
      </c>
      <c r="E104">
        <f t="shared" si="12"/>
        <v>-219</v>
      </c>
      <c r="F104">
        <f t="shared" si="7"/>
        <v>219</v>
      </c>
      <c r="G104">
        <f t="shared" si="8"/>
        <v>47961</v>
      </c>
      <c r="H104">
        <f t="shared" si="9"/>
        <v>67.177914110429455</v>
      </c>
      <c r="J104">
        <f t="shared" si="10"/>
        <v>0.54007702355749743</v>
      </c>
      <c r="K104">
        <f t="shared" si="13"/>
        <v>8.8284311517499211E-3</v>
      </c>
    </row>
    <row r="105" spans="1:11" x14ac:dyDescent="0.25">
      <c r="A105" s="15">
        <v>8</v>
      </c>
      <c r="B105" s="15">
        <v>216</v>
      </c>
      <c r="D105">
        <f t="shared" si="11"/>
        <v>828</v>
      </c>
      <c r="E105">
        <f t="shared" si="12"/>
        <v>-612</v>
      </c>
      <c r="F105">
        <f t="shared" si="7"/>
        <v>612</v>
      </c>
      <c r="G105">
        <f t="shared" si="8"/>
        <v>374544</v>
      </c>
      <c r="H105">
        <f t="shared" si="9"/>
        <v>283.33333333333337</v>
      </c>
      <c r="J105">
        <f t="shared" si="10"/>
        <v>3.5242575934359595</v>
      </c>
      <c r="K105">
        <f t="shared" si="13"/>
        <v>0.11385449207723286</v>
      </c>
    </row>
    <row r="106" spans="1:11" x14ac:dyDescent="0.25">
      <c r="A106" s="15">
        <v>9</v>
      </c>
      <c r="B106" s="15">
        <v>165</v>
      </c>
      <c r="D106">
        <f t="shared" si="11"/>
        <v>65</v>
      </c>
      <c r="E106">
        <f t="shared" si="12"/>
        <v>100</v>
      </c>
      <c r="F106">
        <f t="shared" si="7"/>
        <v>100</v>
      </c>
      <c r="G106">
        <f t="shared" si="8"/>
        <v>10000</v>
      </c>
      <c r="H106">
        <f t="shared" si="9"/>
        <v>60.606060606060609</v>
      </c>
      <c r="J106">
        <f t="shared" si="10"/>
        <v>0.21433470507544583</v>
      </c>
      <c r="K106">
        <f t="shared" si="13"/>
        <v>5.5748456790123455E-2</v>
      </c>
    </row>
    <row r="107" spans="1:11" x14ac:dyDescent="0.25">
      <c r="A107" s="15">
        <v>10</v>
      </c>
      <c r="B107" s="15">
        <v>229</v>
      </c>
      <c r="D107">
        <f t="shared" si="11"/>
        <v>121</v>
      </c>
      <c r="E107">
        <f t="shared" si="12"/>
        <v>108</v>
      </c>
      <c r="F107">
        <f t="shared" si="7"/>
        <v>108</v>
      </c>
      <c r="G107">
        <f t="shared" si="8"/>
        <v>11664</v>
      </c>
      <c r="H107">
        <f t="shared" si="9"/>
        <v>47.161572052401745</v>
      </c>
      <c r="J107">
        <f t="shared" si="10"/>
        <v>0.42842975206611572</v>
      </c>
      <c r="K107">
        <f t="shared" si="13"/>
        <v>0.15044995408631773</v>
      </c>
    </row>
    <row r="108" spans="1:11" x14ac:dyDescent="0.25">
      <c r="A108" s="15">
        <v>11</v>
      </c>
      <c r="B108" s="15">
        <v>263</v>
      </c>
      <c r="D108">
        <f t="shared" si="11"/>
        <v>254</v>
      </c>
      <c r="E108">
        <f t="shared" si="12"/>
        <v>9</v>
      </c>
      <c r="F108">
        <f t="shared" si="7"/>
        <v>9</v>
      </c>
      <c r="G108">
        <f t="shared" si="8"/>
        <v>81</v>
      </c>
      <c r="H108">
        <f t="shared" si="9"/>
        <v>3.4220532319391634</v>
      </c>
      <c r="J108">
        <f t="shared" si="10"/>
        <v>1.544592971148529E-3</v>
      </c>
      <c r="K108">
        <f t="shared" si="13"/>
        <v>2.204382067466296E-2</v>
      </c>
    </row>
    <row r="109" spans="1:11" x14ac:dyDescent="0.25">
      <c r="A109" s="15">
        <v>12</v>
      </c>
      <c r="B109" s="15">
        <v>155</v>
      </c>
      <c r="D109">
        <f t="shared" si="11"/>
        <v>116</v>
      </c>
      <c r="E109">
        <f t="shared" si="12"/>
        <v>39</v>
      </c>
      <c r="F109">
        <f t="shared" si="7"/>
        <v>39</v>
      </c>
      <c r="G109">
        <f t="shared" si="8"/>
        <v>1521</v>
      </c>
      <c r="H109">
        <f t="shared" si="9"/>
        <v>25.161290322580644</v>
      </c>
      <c r="J109">
        <f t="shared" si="10"/>
        <v>2.198961962728968E-2</v>
      </c>
      <c r="K109">
        <f t="shared" si="13"/>
        <v>0.16863045584004396</v>
      </c>
    </row>
    <row r="110" spans="1:11" x14ac:dyDescent="0.25">
      <c r="A110" s="15">
        <v>1</v>
      </c>
      <c r="B110" s="15">
        <v>235</v>
      </c>
      <c r="D110">
        <f t="shared" si="11"/>
        <v>358</v>
      </c>
      <c r="E110">
        <f t="shared" si="12"/>
        <v>-123</v>
      </c>
      <c r="F110">
        <f t="shared" si="7"/>
        <v>123</v>
      </c>
      <c r="G110">
        <f t="shared" si="8"/>
        <v>15129</v>
      </c>
      <c r="H110">
        <f t="shared" si="9"/>
        <v>52.340425531914889</v>
      </c>
      <c r="J110">
        <f t="shared" si="10"/>
        <v>0.62971904266389178</v>
      </c>
      <c r="K110">
        <f t="shared" si="13"/>
        <v>0.26638917793964617</v>
      </c>
    </row>
    <row r="111" spans="1:11" x14ac:dyDescent="0.25">
      <c r="A111" s="15">
        <v>2</v>
      </c>
      <c r="B111" s="15">
        <v>242</v>
      </c>
      <c r="D111">
        <f t="shared" si="11"/>
        <v>190</v>
      </c>
      <c r="E111">
        <f t="shared" si="12"/>
        <v>52</v>
      </c>
      <c r="F111">
        <f t="shared" si="7"/>
        <v>52</v>
      </c>
      <c r="G111">
        <f t="shared" si="8"/>
        <v>2704</v>
      </c>
      <c r="H111">
        <f t="shared" si="9"/>
        <v>21.487603305785125</v>
      </c>
      <c r="J111">
        <f t="shared" si="10"/>
        <v>4.8963331824354903E-2</v>
      </c>
      <c r="K111">
        <f t="shared" si="13"/>
        <v>8.8727931190583985E-4</v>
      </c>
    </row>
    <row r="112" spans="1:11" x14ac:dyDescent="0.25">
      <c r="A112" s="15">
        <v>3</v>
      </c>
      <c r="B112" s="15">
        <v>302</v>
      </c>
      <c r="D112">
        <f t="shared" si="11"/>
        <v>108</v>
      </c>
      <c r="E112">
        <f t="shared" si="12"/>
        <v>194</v>
      </c>
      <c r="F112">
        <f t="shared" si="7"/>
        <v>194</v>
      </c>
      <c r="G112">
        <f t="shared" si="8"/>
        <v>37636</v>
      </c>
      <c r="H112">
        <f t="shared" si="9"/>
        <v>64.238410596026483</v>
      </c>
      <c r="J112">
        <f t="shared" si="10"/>
        <v>0.64264736015299495</v>
      </c>
      <c r="K112">
        <f t="shared" si="13"/>
        <v>6.1471210982856364E-2</v>
      </c>
    </row>
    <row r="113" spans="1:13" x14ac:dyDescent="0.25">
      <c r="A113" s="15">
        <v>4</v>
      </c>
      <c r="B113" s="15">
        <v>369</v>
      </c>
      <c r="D113">
        <f t="shared" si="11"/>
        <v>175</v>
      </c>
      <c r="E113">
        <f t="shared" si="12"/>
        <v>194</v>
      </c>
      <c r="F113">
        <f t="shared" si="7"/>
        <v>194</v>
      </c>
      <c r="G113">
        <f t="shared" si="8"/>
        <v>37636</v>
      </c>
      <c r="H113">
        <f t="shared" si="9"/>
        <v>52.574525745257446</v>
      </c>
      <c r="J113">
        <f t="shared" si="10"/>
        <v>0.41265733959036877</v>
      </c>
      <c r="K113">
        <f t="shared" si="13"/>
        <v>4.9219332485417301E-2</v>
      </c>
    </row>
    <row r="114" spans="1:13" x14ac:dyDescent="0.25">
      <c r="A114" s="15">
        <v>5</v>
      </c>
      <c r="B114" s="15">
        <v>326</v>
      </c>
      <c r="D114">
        <f t="shared" si="11"/>
        <v>214</v>
      </c>
      <c r="E114">
        <f t="shared" si="12"/>
        <v>112</v>
      </c>
      <c r="F114">
        <f t="shared" si="7"/>
        <v>112</v>
      </c>
      <c r="G114">
        <f t="shared" si="8"/>
        <v>12544</v>
      </c>
      <c r="H114">
        <f t="shared" si="9"/>
        <v>34.355828220858896</v>
      </c>
      <c r="J114">
        <f t="shared" si="10"/>
        <v>9.212623291544568E-2</v>
      </c>
      <c r="K114">
        <f t="shared" si="13"/>
        <v>1.3579512488891825E-2</v>
      </c>
    </row>
    <row r="115" spans="1:13" x14ac:dyDescent="0.25">
      <c r="A115" s="15">
        <v>6</v>
      </c>
      <c r="B115" s="15">
        <v>490</v>
      </c>
      <c r="D115">
        <f t="shared" si="11"/>
        <v>298</v>
      </c>
      <c r="E115">
        <f t="shared" si="12"/>
        <v>192</v>
      </c>
      <c r="F115">
        <f t="shared" si="7"/>
        <v>192</v>
      </c>
      <c r="G115">
        <f t="shared" si="8"/>
        <v>36864</v>
      </c>
      <c r="H115">
        <f t="shared" si="9"/>
        <v>39.183673469387756</v>
      </c>
      <c r="J115">
        <f t="shared" si="10"/>
        <v>0.34687041288719944</v>
      </c>
      <c r="K115">
        <f t="shared" si="13"/>
        <v>0.25307689412473183</v>
      </c>
    </row>
    <row r="116" spans="1:13" x14ac:dyDescent="0.25">
      <c r="A116" s="15">
        <v>7</v>
      </c>
      <c r="B116" s="15">
        <v>228</v>
      </c>
      <c r="D116">
        <f t="shared" si="11"/>
        <v>326</v>
      </c>
      <c r="E116">
        <f t="shared" si="12"/>
        <v>-98</v>
      </c>
      <c r="F116">
        <f t="shared" si="7"/>
        <v>98</v>
      </c>
      <c r="G116">
        <f t="shared" si="8"/>
        <v>9604</v>
      </c>
      <c r="H116">
        <f t="shared" si="9"/>
        <v>42.982456140350877</v>
      </c>
      <c r="J116">
        <f t="shared" si="10"/>
        <v>4.0000000000000008E-2</v>
      </c>
      <c r="K116">
        <f t="shared" si="13"/>
        <v>0.28589754269054557</v>
      </c>
    </row>
    <row r="117" spans="1:13" x14ac:dyDescent="0.25">
      <c r="A117" s="15">
        <v>8</v>
      </c>
      <c r="B117" s="15">
        <v>257</v>
      </c>
      <c r="D117">
        <f t="shared" si="11"/>
        <v>216</v>
      </c>
      <c r="E117">
        <f t="shared" si="12"/>
        <v>41</v>
      </c>
      <c r="F117">
        <f t="shared" si="7"/>
        <v>41</v>
      </c>
      <c r="G117">
        <f t="shared" si="8"/>
        <v>1681</v>
      </c>
      <c r="H117">
        <f t="shared" si="9"/>
        <v>15.953307392996107</v>
      </c>
      <c r="J117">
        <f t="shared" si="10"/>
        <v>3.23368728839643E-2</v>
      </c>
      <c r="K117">
        <f t="shared" si="13"/>
        <v>1.6178054786088029E-2</v>
      </c>
    </row>
    <row r="118" spans="1:13" x14ac:dyDescent="0.25">
      <c r="A118" s="15">
        <v>9</v>
      </c>
      <c r="B118" s="15">
        <v>249</v>
      </c>
      <c r="D118">
        <f t="shared" si="11"/>
        <v>165</v>
      </c>
      <c r="E118">
        <f t="shared" si="12"/>
        <v>84</v>
      </c>
      <c r="F118">
        <f t="shared" si="7"/>
        <v>84</v>
      </c>
      <c r="G118">
        <f t="shared" si="8"/>
        <v>7056</v>
      </c>
      <c r="H118">
        <f t="shared" si="9"/>
        <v>33.734939759036145</v>
      </c>
      <c r="J118">
        <f t="shared" si="10"/>
        <v>0.10682977789217096</v>
      </c>
      <c r="K118">
        <f t="shared" si="13"/>
        <v>9.6897757725325137E-4</v>
      </c>
    </row>
    <row r="119" spans="1:13" x14ac:dyDescent="0.25">
      <c r="A119" s="15">
        <v>10</v>
      </c>
      <c r="B119" s="15">
        <v>302</v>
      </c>
      <c r="D119">
        <f t="shared" si="11"/>
        <v>229</v>
      </c>
      <c r="E119">
        <f t="shared" si="12"/>
        <v>73</v>
      </c>
      <c r="F119">
        <f t="shared" si="7"/>
        <v>73</v>
      </c>
      <c r="G119">
        <f t="shared" si="8"/>
        <v>5329</v>
      </c>
      <c r="H119">
        <f t="shared" si="9"/>
        <v>24.172185430463578</v>
      </c>
      <c r="J119">
        <f t="shared" si="10"/>
        <v>8.5950226609248226E-2</v>
      </c>
      <c r="K119">
        <f t="shared" si="13"/>
        <v>4.5305720875469753E-2</v>
      </c>
      <c r="M119" s="15"/>
    </row>
    <row r="120" spans="1:13" x14ac:dyDescent="0.25">
      <c r="A120" s="15">
        <v>11</v>
      </c>
      <c r="B120" s="15">
        <v>302</v>
      </c>
      <c r="D120">
        <f t="shared" si="11"/>
        <v>263</v>
      </c>
      <c r="E120">
        <f t="shared" si="12"/>
        <v>39</v>
      </c>
      <c r="F120">
        <f t="shared" si="7"/>
        <v>39</v>
      </c>
      <c r="G120">
        <f t="shared" si="8"/>
        <v>1521</v>
      </c>
      <c r="H120">
        <f t="shared" si="9"/>
        <v>12.913907284768211</v>
      </c>
      <c r="J120">
        <f t="shared" si="10"/>
        <v>1.6676900135958947E-2</v>
      </c>
      <c r="K120">
        <f t="shared" si="13"/>
        <v>0</v>
      </c>
    </row>
    <row r="121" spans="1:13" x14ac:dyDescent="0.25">
      <c r="A121" s="15">
        <v>12</v>
      </c>
      <c r="B121" s="15">
        <v>243</v>
      </c>
      <c r="D121">
        <f t="shared" si="11"/>
        <v>155</v>
      </c>
      <c r="E121">
        <f t="shared" si="12"/>
        <v>88</v>
      </c>
      <c r="F121">
        <f t="shared" si="7"/>
        <v>88</v>
      </c>
      <c r="G121">
        <f t="shared" si="8"/>
        <v>7744</v>
      </c>
      <c r="H121">
        <f t="shared" si="9"/>
        <v>36.213991769547327</v>
      </c>
      <c r="J121">
        <f t="shared" si="10"/>
        <v>8.4908556642252525E-2</v>
      </c>
      <c r="K121">
        <f t="shared" si="13"/>
        <v>3.8167185649752203E-2</v>
      </c>
    </row>
    <row r="122" spans="1:13" ht="14.4" x14ac:dyDescent="0.3">
      <c r="A122" s="33">
        <v>1</v>
      </c>
      <c r="B122" s="33">
        <v>233</v>
      </c>
      <c r="C122" s="33"/>
      <c r="D122" s="33">
        <f t="shared" si="11"/>
        <v>235</v>
      </c>
      <c r="E122" s="33">
        <f t="shared" si="12"/>
        <v>-2</v>
      </c>
      <c r="F122" s="33">
        <f t="shared" si="7"/>
        <v>2</v>
      </c>
      <c r="G122" s="33">
        <f t="shared" si="8"/>
        <v>4</v>
      </c>
      <c r="H122" s="33">
        <f t="shared" si="9"/>
        <v>0.85836909871244638</v>
      </c>
      <c r="I122" s="33"/>
      <c r="J122" s="33">
        <f t="shared" si="10"/>
        <v>6.7740351233721156E-5</v>
      </c>
      <c r="K122" s="33">
        <f t="shared" si="13"/>
        <v>1.6935087808430287E-3</v>
      </c>
    </row>
    <row r="123" spans="1:13" ht="14.4" x14ac:dyDescent="0.3">
      <c r="A123" s="33">
        <v>2</v>
      </c>
      <c r="B123" s="33">
        <v>230</v>
      </c>
      <c r="C123" s="33"/>
      <c r="D123" s="33">
        <f t="shared" si="11"/>
        <v>242</v>
      </c>
      <c r="E123" s="33">
        <f t="shared" si="12"/>
        <v>-12</v>
      </c>
      <c r="F123" s="33">
        <f t="shared" si="7"/>
        <v>12</v>
      </c>
      <c r="G123" s="33">
        <f t="shared" si="8"/>
        <v>144</v>
      </c>
      <c r="H123" s="33">
        <f t="shared" si="9"/>
        <v>5.2173913043478262</v>
      </c>
      <c r="I123" s="33"/>
      <c r="J123" s="33">
        <f t="shared" si="10"/>
        <v>2.652471034647903E-3</v>
      </c>
      <c r="K123" s="33">
        <f t="shared" si="13"/>
        <v>1.6577943966549394E-4</v>
      </c>
    </row>
    <row r="124" spans="1:13" ht="14.4" x14ac:dyDescent="0.3">
      <c r="A124" s="33">
        <v>3</v>
      </c>
      <c r="B124" s="33">
        <v>284</v>
      </c>
      <c r="C124" s="33"/>
      <c r="D124" s="33">
        <f t="shared" si="11"/>
        <v>302</v>
      </c>
      <c r="E124" s="33">
        <f t="shared" si="12"/>
        <v>-18</v>
      </c>
      <c r="F124" s="33">
        <f t="shared" si="7"/>
        <v>18</v>
      </c>
      <c r="G124" s="33">
        <f t="shared" si="8"/>
        <v>324</v>
      </c>
      <c r="H124" s="33">
        <f t="shared" si="9"/>
        <v>6.3380281690140841</v>
      </c>
      <c r="I124" s="33"/>
      <c r="J124" s="33">
        <f t="shared" si="10"/>
        <v>6.124763705103971E-3</v>
      </c>
      <c r="K124" s="33">
        <f t="shared" si="13"/>
        <v>5.5122873345935727E-2</v>
      </c>
      <c r="M124" s="15"/>
    </row>
    <row r="125" spans="1:13" ht="14.4" x14ac:dyDescent="0.3">
      <c r="A125" s="33">
        <v>4</v>
      </c>
      <c r="B125" s="33">
        <v>343</v>
      </c>
      <c r="C125" s="33"/>
      <c r="D125" s="33">
        <f t="shared" si="11"/>
        <v>369</v>
      </c>
      <c r="E125" s="33">
        <f t="shared" si="12"/>
        <v>-26</v>
      </c>
      <c r="F125" s="33">
        <f t="shared" si="7"/>
        <v>26</v>
      </c>
      <c r="G125" s="33">
        <f t="shared" si="8"/>
        <v>676</v>
      </c>
      <c r="H125" s="33">
        <f t="shared" si="9"/>
        <v>7.5801749271137027</v>
      </c>
      <c r="I125" s="33"/>
      <c r="J125" s="33">
        <f t="shared" si="10"/>
        <v>8.3812735568339625E-3</v>
      </c>
      <c r="K125" s="33">
        <f t="shared" si="13"/>
        <v>4.3158599484229322E-2</v>
      </c>
    </row>
    <row r="126" spans="1:13" ht="14.4" x14ac:dyDescent="0.3">
      <c r="A126" s="33">
        <v>5</v>
      </c>
      <c r="B126" s="33">
        <v>359</v>
      </c>
      <c r="C126" s="33"/>
      <c r="D126" s="33">
        <f t="shared" si="11"/>
        <v>326</v>
      </c>
      <c r="E126" s="33">
        <f t="shared" si="12"/>
        <v>33</v>
      </c>
      <c r="F126" s="33">
        <f t="shared" si="7"/>
        <v>33</v>
      </c>
      <c r="G126" s="33">
        <f t="shared" si="8"/>
        <v>1089</v>
      </c>
      <c r="H126" s="33">
        <f t="shared" si="9"/>
        <v>9.1922005571030638</v>
      </c>
      <c r="I126" s="33"/>
      <c r="J126" s="33">
        <f t="shared" si="10"/>
        <v>9.2563472702700406E-3</v>
      </c>
      <c r="K126" s="33">
        <f t="shared" si="13"/>
        <v>2.1759640965924062E-3</v>
      </c>
    </row>
    <row r="127" spans="1:13" ht="14.4" x14ac:dyDescent="0.3">
      <c r="A127" s="33">
        <v>6</v>
      </c>
      <c r="B127" s="33">
        <v>362</v>
      </c>
      <c r="C127" s="33"/>
      <c r="D127" s="33">
        <f t="shared" si="11"/>
        <v>490</v>
      </c>
      <c r="E127" s="33">
        <f t="shared" si="12"/>
        <v>-128</v>
      </c>
      <c r="F127" s="33">
        <f t="shared" si="7"/>
        <v>128</v>
      </c>
      <c r="G127" s="33">
        <f t="shared" si="8"/>
        <v>16384</v>
      </c>
      <c r="H127" s="33">
        <f t="shared" si="9"/>
        <v>35.359116022099442</v>
      </c>
      <c r="I127" s="33"/>
      <c r="J127" s="33">
        <f t="shared" si="10"/>
        <v>0.12712502230739986</v>
      </c>
      <c r="K127" s="33">
        <f t="shared" si="13"/>
        <v>6.9831860398351974E-5</v>
      </c>
    </row>
    <row r="128" spans="1:13" ht="14.4" x14ac:dyDescent="0.3">
      <c r="A128" s="33">
        <v>7</v>
      </c>
      <c r="B128" s="33">
        <v>271</v>
      </c>
      <c r="C128" s="33"/>
      <c r="D128" s="33">
        <f t="shared" si="11"/>
        <v>228</v>
      </c>
      <c r="E128" s="33">
        <f t="shared" si="12"/>
        <v>43</v>
      </c>
      <c r="F128" s="33">
        <f t="shared" si="7"/>
        <v>43</v>
      </c>
      <c r="G128" s="33">
        <f t="shared" si="8"/>
        <v>1849</v>
      </c>
      <c r="H128" s="33">
        <f t="shared" si="9"/>
        <v>15.867158671586715</v>
      </c>
      <c r="I128" s="33"/>
      <c r="J128" s="33">
        <f t="shared" si="10"/>
        <v>1.4109764659198437E-2</v>
      </c>
      <c r="K128" s="33">
        <f t="shared" si="13"/>
        <v>6.3192515490980136E-2</v>
      </c>
    </row>
    <row r="129" spans="1:11" ht="14.4" x14ac:dyDescent="0.3">
      <c r="A129" s="33">
        <v>8</v>
      </c>
      <c r="B129" s="33">
        <v>153</v>
      </c>
      <c r="C129" s="33"/>
      <c r="D129" s="33">
        <f t="shared" si="11"/>
        <v>257</v>
      </c>
      <c r="E129" s="33">
        <f t="shared" si="12"/>
        <v>-104</v>
      </c>
      <c r="F129" s="33">
        <f t="shared" si="7"/>
        <v>104</v>
      </c>
      <c r="G129" s="33">
        <f t="shared" si="8"/>
        <v>10816</v>
      </c>
      <c r="H129" s="33">
        <f t="shared" si="9"/>
        <v>67.973856209150327</v>
      </c>
      <c r="I129" s="33"/>
      <c r="J129" s="33">
        <f t="shared" si="10"/>
        <v>0.14727468307893413</v>
      </c>
      <c r="K129" s="33">
        <f t="shared" si="13"/>
        <v>0.18959436826840592</v>
      </c>
    </row>
    <row r="130" spans="1:11" ht="14.4" x14ac:dyDescent="0.3">
      <c r="A130" s="33">
        <v>9</v>
      </c>
      <c r="B130" s="33">
        <v>231</v>
      </c>
      <c r="C130" s="33"/>
      <c r="D130" s="33">
        <f t="shared" si="11"/>
        <v>249</v>
      </c>
      <c r="E130" s="33">
        <f t="shared" si="12"/>
        <v>-18</v>
      </c>
      <c r="F130" s="33">
        <f t="shared" si="7"/>
        <v>18</v>
      </c>
      <c r="G130" s="33">
        <f t="shared" si="8"/>
        <v>324</v>
      </c>
      <c r="H130" s="33">
        <f t="shared" si="9"/>
        <v>7.7922077922077921</v>
      </c>
      <c r="I130" s="33"/>
      <c r="J130" s="33">
        <f t="shared" si="10"/>
        <v>1.384083044982699E-2</v>
      </c>
      <c r="K130" s="33">
        <f t="shared" si="13"/>
        <v>0.25990003844675119</v>
      </c>
    </row>
    <row r="131" spans="1:11" ht="14.4" x14ac:dyDescent="0.3">
      <c r="A131" s="33">
        <v>10</v>
      </c>
      <c r="B131" s="33">
        <v>163</v>
      </c>
      <c r="C131" s="33"/>
      <c r="D131" s="33">
        <f t="shared" si="11"/>
        <v>302</v>
      </c>
      <c r="E131" s="33">
        <f t="shared" si="12"/>
        <v>-139</v>
      </c>
      <c r="F131" s="33">
        <f t="shared" si="7"/>
        <v>139</v>
      </c>
      <c r="G131" s="33">
        <f t="shared" si="8"/>
        <v>19321</v>
      </c>
      <c r="H131" s="33">
        <f t="shared" si="9"/>
        <v>85.276073619631902</v>
      </c>
      <c r="I131" s="33"/>
      <c r="J131" s="33">
        <f t="shared" si="10"/>
        <v>0.36208092052247903</v>
      </c>
      <c r="K131" s="33">
        <f t="shared" si="13"/>
        <v>8.6655047694008752E-2</v>
      </c>
    </row>
    <row r="132" spans="1:11" ht="14.4" x14ac:dyDescent="0.3">
      <c r="A132" s="33">
        <v>11</v>
      </c>
      <c r="B132" s="33">
        <v>272</v>
      </c>
      <c r="C132" s="33"/>
      <c r="D132" s="33">
        <f>B120</f>
        <v>302</v>
      </c>
      <c r="E132" s="33">
        <f t="shared" si="12"/>
        <v>-30</v>
      </c>
      <c r="F132" s="33">
        <f t="shared" ref="F132:F133" si="14">ABS(E132)</f>
        <v>30</v>
      </c>
      <c r="G132" s="33">
        <f t="shared" ref="G132:G133" si="15">E132^2</f>
        <v>900</v>
      </c>
      <c r="H132" s="33">
        <f t="shared" ref="H132:H133" si="16">(F132/B132)*100</f>
        <v>11.029411764705882</v>
      </c>
      <c r="I132" s="33"/>
      <c r="J132" s="33">
        <f t="shared" ref="J132:J133" si="17">((D132-B132)/B131)^2</f>
        <v>3.3874063758515559E-2</v>
      </c>
      <c r="K132" s="33">
        <f t="shared" si="13"/>
        <v>0.44717527946102603</v>
      </c>
    </row>
    <row r="133" spans="1:11" ht="14.4" x14ac:dyDescent="0.3">
      <c r="A133" s="33">
        <v>12</v>
      </c>
      <c r="B133" s="33">
        <v>249</v>
      </c>
      <c r="C133" s="33"/>
      <c r="D133" s="33">
        <f t="shared" si="11"/>
        <v>243</v>
      </c>
      <c r="E133" s="33">
        <f t="shared" si="12"/>
        <v>6</v>
      </c>
      <c r="F133" s="33">
        <f t="shared" si="14"/>
        <v>6</v>
      </c>
      <c r="G133" s="33">
        <f t="shared" si="15"/>
        <v>36</v>
      </c>
      <c r="H133" s="33">
        <f t="shared" si="16"/>
        <v>2.4096385542168677</v>
      </c>
      <c r="I133" s="33"/>
      <c r="J133" s="33">
        <f t="shared" si="17"/>
        <v>4.8659169550173019E-4</v>
      </c>
      <c r="K133" s="33">
        <f t="shared" si="13"/>
        <v>7.1501946366782018E-3</v>
      </c>
    </row>
    <row r="134" spans="1:11" x14ac:dyDescent="0.25">
      <c r="A134" s="31"/>
    </row>
    <row r="135" spans="1:11" ht="14.4" x14ac:dyDescent="0.25">
      <c r="A135" s="31"/>
      <c r="F135" s="35" t="s">
        <v>34</v>
      </c>
      <c r="G135" s="35" t="s">
        <v>33</v>
      </c>
      <c r="H135" s="35" t="s">
        <v>35</v>
      </c>
      <c r="I135" s="35"/>
      <c r="J135" s="35" t="s">
        <v>98</v>
      </c>
    </row>
    <row r="136" spans="1:11" ht="14.4" x14ac:dyDescent="0.25">
      <c r="A136" s="31"/>
      <c r="F136" s="34">
        <f>SUM(F122:F133)/COUNT(F122:F133)</f>
        <v>46.583333333333336</v>
      </c>
      <c r="G136" s="34">
        <f t="shared" ref="G136:H136" si="18">SUM(G122:G133)/COUNT(G122:G133)</f>
        <v>4322.25</v>
      </c>
      <c r="H136" s="34">
        <f t="shared" si="18"/>
        <v>21.241135557490836</v>
      </c>
      <c r="I136" s="34"/>
      <c r="J136" s="34">
        <f>SQRT(SUM(J122:J133)/SUM(K122:K133))</f>
        <v>0.79206739348932886</v>
      </c>
    </row>
    <row r="137" spans="1:11" x14ac:dyDescent="0.25">
      <c r="A137" s="31"/>
    </row>
    <row r="138" spans="1:11" x14ac:dyDescent="0.25">
      <c r="A138" s="31"/>
    </row>
    <row r="139" spans="1:11" x14ac:dyDescent="0.25">
      <c r="A139" s="31"/>
    </row>
    <row r="140" spans="1:11" x14ac:dyDescent="0.25">
      <c r="A140" s="31"/>
    </row>
    <row r="141" spans="1:11" x14ac:dyDescent="0.25">
      <c r="A141" s="31"/>
    </row>
    <row r="142" spans="1:11" x14ac:dyDescent="0.25">
      <c r="A142" s="31"/>
    </row>
    <row r="143" spans="1:11" x14ac:dyDescent="0.25">
      <c r="A143" s="31"/>
    </row>
    <row r="144" spans="1:11" x14ac:dyDescent="0.25">
      <c r="A144" s="31"/>
    </row>
    <row r="145" spans="1:1" x14ac:dyDescent="0.25">
      <c r="A145" s="3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C29" sqref="C29"/>
    </sheetView>
  </sheetViews>
  <sheetFormatPr defaultRowHeight="13.2" x14ac:dyDescent="0.25"/>
  <cols>
    <col min="1" max="1" width="29.44140625" customWidth="1"/>
    <col min="2" max="2" width="34.88671875" customWidth="1"/>
    <col min="7" max="7" width="40.21875" customWidth="1"/>
    <col min="8" max="8" width="8.88671875" customWidth="1"/>
    <col min="9" max="9" width="19" customWidth="1"/>
  </cols>
  <sheetData>
    <row r="1" spans="1:9" x14ac:dyDescent="0.25">
      <c r="A1" s="41" t="s">
        <v>99</v>
      </c>
      <c r="B1" s="41"/>
    </row>
    <row r="2" spans="1:9" x14ac:dyDescent="0.25">
      <c r="A2" s="39"/>
      <c r="B2" s="39"/>
      <c r="H2" s="18" t="s">
        <v>116</v>
      </c>
    </row>
    <row r="3" spans="1:9" x14ac:dyDescent="0.25">
      <c r="A3" s="39" t="s">
        <v>100</v>
      </c>
      <c r="B3" s="39">
        <v>231.46212121212122</v>
      </c>
    </row>
    <row r="4" spans="1:9" x14ac:dyDescent="0.25">
      <c r="A4" s="39" t="s">
        <v>101</v>
      </c>
      <c r="B4" s="39">
        <v>9.1219499308887499</v>
      </c>
      <c r="H4" s="14" t="s">
        <v>117</v>
      </c>
      <c r="I4" s="14" t="s">
        <v>118</v>
      </c>
    </row>
    <row r="5" spans="1:9" x14ac:dyDescent="0.25">
      <c r="A5" s="39" t="s">
        <v>102</v>
      </c>
      <c r="B5" s="39">
        <v>216</v>
      </c>
      <c r="H5">
        <f>B15/6</f>
        <v>22</v>
      </c>
      <c r="I5" s="18">
        <f>H5*(B10^2+((B9-3)^2)/4)</f>
        <v>182.19815838214308</v>
      </c>
    </row>
    <row r="6" spans="1:9" x14ac:dyDescent="0.25">
      <c r="A6" s="39" t="s">
        <v>103</v>
      </c>
      <c r="B6" s="39">
        <v>175</v>
      </c>
    </row>
    <row r="7" spans="1:9" x14ac:dyDescent="0.25">
      <c r="A7" s="39" t="s">
        <v>104</v>
      </c>
      <c r="B7" s="39">
        <v>104.80322567314732</v>
      </c>
      <c r="G7" s="14" t="s">
        <v>119</v>
      </c>
    </row>
    <row r="8" spans="1:9" x14ac:dyDescent="0.25">
      <c r="A8" s="39" t="s">
        <v>105</v>
      </c>
      <c r="B8" s="39">
        <v>10983.716111496646</v>
      </c>
      <c r="G8">
        <f>_xlfn.CHISQ.INV.RT(0.05,2)</f>
        <v>5.9914645471079817</v>
      </c>
    </row>
    <row r="9" spans="1:9" x14ac:dyDescent="0.25">
      <c r="A9" s="39" t="s">
        <v>106</v>
      </c>
      <c r="B9" s="39">
        <v>7.3895525517528817</v>
      </c>
    </row>
    <row r="10" spans="1:9" x14ac:dyDescent="0.25">
      <c r="A10" s="39" t="s">
        <v>107</v>
      </c>
      <c r="B10" s="39">
        <v>1.8613681986016459</v>
      </c>
      <c r="I10" s="14" t="s">
        <v>120</v>
      </c>
    </row>
    <row r="11" spans="1:9" x14ac:dyDescent="0.25">
      <c r="A11" s="39" t="s">
        <v>108</v>
      </c>
      <c r="B11" s="39">
        <v>784</v>
      </c>
    </row>
    <row r="12" spans="1:9" x14ac:dyDescent="0.25">
      <c r="A12" s="39" t="s">
        <v>109</v>
      </c>
      <c r="B12" s="39">
        <v>44</v>
      </c>
      <c r="F12" s="14" t="s">
        <v>61</v>
      </c>
      <c r="G12" s="42">
        <f>_xlfn.CHISQ.DIST.RT(I5,2)</f>
        <v>2.7300625709340816E-40</v>
      </c>
    </row>
    <row r="13" spans="1:9" x14ac:dyDescent="0.25">
      <c r="A13" s="39" t="s">
        <v>110</v>
      </c>
      <c r="B13" s="39">
        <v>828</v>
      </c>
    </row>
    <row r="14" spans="1:9" x14ac:dyDescent="0.25">
      <c r="A14" s="39" t="s">
        <v>111</v>
      </c>
      <c r="B14" s="39">
        <v>30553</v>
      </c>
    </row>
    <row r="15" spans="1:9" x14ac:dyDescent="0.25">
      <c r="A15" s="39" t="s">
        <v>112</v>
      </c>
      <c r="B15" s="39">
        <v>132</v>
      </c>
    </row>
    <row r="16" spans="1:9" x14ac:dyDescent="0.25">
      <c r="A16" s="39" t="s">
        <v>114</v>
      </c>
      <c r="B16" s="39">
        <v>545</v>
      </c>
    </row>
    <row r="17" spans="1:2" x14ac:dyDescent="0.25">
      <c r="A17" s="39" t="s">
        <v>115</v>
      </c>
      <c r="B17" s="39">
        <v>65</v>
      </c>
    </row>
    <row r="18" spans="1:2" ht="13.8" thickBot="1" x14ac:dyDescent="0.3">
      <c r="A18" s="40" t="s">
        <v>113</v>
      </c>
      <c r="B18" s="40">
        <v>18.045392906214058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0" zoomScale="40" zoomScaleNormal="40" workbookViewId="0">
      <selection activeCell="O154" sqref="O154"/>
    </sheetView>
  </sheetViews>
  <sheetFormatPr defaultRowHeight="13.2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J27" sqref="J27"/>
    </sheetView>
  </sheetViews>
  <sheetFormatPr defaultRowHeight="13.2" x14ac:dyDescent="0.25"/>
  <cols>
    <col min="10" max="10" width="28" customWidth="1"/>
    <col min="12" max="12" width="15.88671875" customWidth="1"/>
  </cols>
  <sheetData>
    <row r="1" spans="1:11" s="18" customFormat="1" ht="14.4" x14ac:dyDescent="0.3">
      <c r="A1" s="36" t="s">
        <v>14</v>
      </c>
      <c r="B1" s="36" t="s">
        <v>13</v>
      </c>
      <c r="C1" s="37"/>
      <c r="D1" s="37" t="s">
        <v>94</v>
      </c>
      <c r="E1" s="37" t="s">
        <v>29</v>
      </c>
      <c r="F1" s="37" t="s">
        <v>30</v>
      </c>
      <c r="G1" s="37" t="s">
        <v>31</v>
      </c>
      <c r="H1" s="37" t="s">
        <v>95</v>
      </c>
      <c r="I1" s="37"/>
      <c r="J1" s="37" t="s">
        <v>96</v>
      </c>
      <c r="K1" s="37" t="s">
        <v>97</v>
      </c>
    </row>
    <row r="2" spans="1:11" ht="14.4" x14ac:dyDescent="0.25">
      <c r="A2" s="38">
        <v>1</v>
      </c>
      <c r="B2" s="38">
        <v>233</v>
      </c>
      <c r="C2" s="38"/>
      <c r="D2" s="38">
        <v>235</v>
      </c>
      <c r="E2" s="38">
        <v>-2</v>
      </c>
      <c r="F2" s="38">
        <v>2</v>
      </c>
      <c r="G2" s="38">
        <v>4</v>
      </c>
      <c r="H2" s="38">
        <v>0.85836909871244638</v>
      </c>
      <c r="I2" s="38"/>
      <c r="J2" s="38">
        <v>6.7740351233721156E-5</v>
      </c>
      <c r="K2" s="38">
        <v>1.6935087808430287E-3</v>
      </c>
    </row>
    <row r="3" spans="1:11" ht="14.4" x14ac:dyDescent="0.25">
      <c r="A3" s="38">
        <v>2</v>
      </c>
      <c r="B3" s="38">
        <v>230</v>
      </c>
      <c r="C3" s="38"/>
      <c r="D3" s="38">
        <v>242</v>
      </c>
      <c r="E3" s="38">
        <v>-12</v>
      </c>
      <c r="F3" s="38">
        <v>12</v>
      </c>
      <c r="G3" s="38">
        <v>144</v>
      </c>
      <c r="H3" s="38">
        <v>5.2173913043478262</v>
      </c>
      <c r="I3" s="38"/>
      <c r="J3" s="38">
        <v>2.652471034647903E-3</v>
      </c>
      <c r="K3" s="38">
        <v>1.6577943966549394E-4</v>
      </c>
    </row>
    <row r="4" spans="1:11" ht="14.4" x14ac:dyDescent="0.25">
      <c r="A4" s="38">
        <v>3</v>
      </c>
      <c r="B4" s="38">
        <v>284</v>
      </c>
      <c r="C4" s="38"/>
      <c r="D4" s="38">
        <v>302</v>
      </c>
      <c r="E4" s="38">
        <v>-18</v>
      </c>
      <c r="F4" s="38">
        <v>18</v>
      </c>
      <c r="G4" s="38">
        <v>324</v>
      </c>
      <c r="H4" s="38">
        <v>6.3380281690140841</v>
      </c>
      <c r="I4" s="38"/>
      <c r="J4" s="38">
        <v>6.124763705103971E-3</v>
      </c>
      <c r="K4" s="38">
        <v>5.5122873345935727E-2</v>
      </c>
    </row>
    <row r="5" spans="1:11" ht="14.4" x14ac:dyDescent="0.25">
      <c r="A5" s="38">
        <v>4</v>
      </c>
      <c r="B5" s="38">
        <v>343</v>
      </c>
      <c r="C5" s="38"/>
      <c r="D5" s="38">
        <v>369</v>
      </c>
      <c r="E5" s="38">
        <v>-26</v>
      </c>
      <c r="F5" s="38">
        <v>26</v>
      </c>
      <c r="G5" s="38">
        <v>676</v>
      </c>
      <c r="H5" s="38">
        <v>7.5801749271137027</v>
      </c>
      <c r="I5" s="38"/>
      <c r="J5" s="38">
        <v>8.3812735568339625E-3</v>
      </c>
      <c r="K5" s="38">
        <v>4.3158599484229322E-2</v>
      </c>
    </row>
    <row r="6" spans="1:11" ht="14.4" x14ac:dyDescent="0.25">
      <c r="A6" s="38">
        <v>5</v>
      </c>
      <c r="B6" s="38">
        <v>359</v>
      </c>
      <c r="C6" s="38"/>
      <c r="D6" s="38">
        <v>326</v>
      </c>
      <c r="E6" s="38">
        <v>33</v>
      </c>
      <c r="F6" s="38">
        <v>33</v>
      </c>
      <c r="G6" s="38">
        <v>1089</v>
      </c>
      <c r="H6" s="38">
        <v>9.1922005571030638</v>
      </c>
      <c r="I6" s="38"/>
      <c r="J6" s="38">
        <v>9.2563472702700406E-3</v>
      </c>
      <c r="K6" s="38">
        <v>2.1759640965924062E-3</v>
      </c>
    </row>
    <row r="7" spans="1:11" ht="14.4" x14ac:dyDescent="0.25">
      <c r="A7" s="38">
        <v>6</v>
      </c>
      <c r="B7" s="38">
        <v>362</v>
      </c>
      <c r="C7" s="38"/>
      <c r="D7" s="38">
        <v>490</v>
      </c>
      <c r="E7" s="38">
        <v>-128</v>
      </c>
      <c r="F7" s="38">
        <v>128</v>
      </c>
      <c r="G7" s="38">
        <v>16384</v>
      </c>
      <c r="H7" s="38">
        <v>35.359116022099442</v>
      </c>
      <c r="I7" s="38"/>
      <c r="J7" s="38">
        <v>0.12712502230739986</v>
      </c>
      <c r="K7" s="38">
        <v>6.9831860398351974E-5</v>
      </c>
    </row>
    <row r="8" spans="1:11" ht="14.4" x14ac:dyDescent="0.25">
      <c r="A8" s="38">
        <v>7</v>
      </c>
      <c r="B8" s="38">
        <v>271</v>
      </c>
      <c r="C8" s="38"/>
      <c r="D8" s="38">
        <v>228</v>
      </c>
      <c r="E8" s="38">
        <v>43</v>
      </c>
      <c r="F8" s="38">
        <v>43</v>
      </c>
      <c r="G8" s="38">
        <v>1849</v>
      </c>
      <c r="H8" s="38">
        <v>15.867158671586715</v>
      </c>
      <c r="I8" s="38"/>
      <c r="J8" s="38">
        <v>1.4109764659198437E-2</v>
      </c>
      <c r="K8" s="38">
        <v>6.3192515490980136E-2</v>
      </c>
    </row>
    <row r="9" spans="1:11" ht="14.4" x14ac:dyDescent="0.25">
      <c r="A9" s="38">
        <v>8</v>
      </c>
      <c r="B9" s="38">
        <v>153</v>
      </c>
      <c r="C9" s="38"/>
      <c r="D9" s="38">
        <v>257</v>
      </c>
      <c r="E9" s="38">
        <v>-104</v>
      </c>
      <c r="F9" s="38">
        <v>104</v>
      </c>
      <c r="G9" s="38">
        <v>10816</v>
      </c>
      <c r="H9" s="38">
        <v>67.973856209150327</v>
      </c>
      <c r="I9" s="38"/>
      <c r="J9" s="38">
        <v>0.14727468307893413</v>
      </c>
      <c r="K9" s="38">
        <v>0.18959436826840592</v>
      </c>
    </row>
    <row r="10" spans="1:11" ht="14.4" x14ac:dyDescent="0.25">
      <c r="A10" s="38">
        <v>9</v>
      </c>
      <c r="B10" s="38">
        <v>231</v>
      </c>
      <c r="C10" s="38"/>
      <c r="D10" s="38">
        <v>249</v>
      </c>
      <c r="E10" s="38">
        <v>-18</v>
      </c>
      <c r="F10" s="38">
        <v>18</v>
      </c>
      <c r="G10" s="38">
        <v>324</v>
      </c>
      <c r="H10" s="38">
        <v>7.7922077922077921</v>
      </c>
      <c r="I10" s="38"/>
      <c r="J10" s="38">
        <v>1.384083044982699E-2</v>
      </c>
      <c r="K10" s="38">
        <v>0.25990003844675119</v>
      </c>
    </row>
    <row r="11" spans="1:11" ht="14.4" x14ac:dyDescent="0.25">
      <c r="A11" s="38">
        <v>10</v>
      </c>
      <c r="B11" s="38">
        <v>163</v>
      </c>
      <c r="C11" s="38"/>
      <c r="D11" s="38">
        <v>302</v>
      </c>
      <c r="E11" s="38">
        <v>-139</v>
      </c>
      <c r="F11" s="38">
        <v>139</v>
      </c>
      <c r="G11" s="38">
        <v>19321</v>
      </c>
      <c r="H11" s="38">
        <v>85.276073619631902</v>
      </c>
      <c r="I11" s="38"/>
      <c r="J11" s="38">
        <v>0.36208092052247903</v>
      </c>
      <c r="K11" s="38">
        <v>8.6655047694008752E-2</v>
      </c>
    </row>
    <row r="12" spans="1:11" ht="14.4" x14ac:dyDescent="0.25">
      <c r="A12" s="38">
        <v>11</v>
      </c>
      <c r="B12" s="38">
        <v>272</v>
      </c>
      <c r="C12" s="38"/>
      <c r="D12" s="38">
        <v>302</v>
      </c>
      <c r="E12" s="38">
        <v>-30</v>
      </c>
      <c r="F12" s="38">
        <v>30</v>
      </c>
      <c r="G12" s="38">
        <v>900</v>
      </c>
      <c r="H12" s="38">
        <v>11.029411764705882</v>
      </c>
      <c r="I12" s="38"/>
      <c r="J12" s="38">
        <v>3.3874063758515559E-2</v>
      </c>
      <c r="K12" s="38">
        <v>0.44717527946102603</v>
      </c>
    </row>
    <row r="13" spans="1:11" ht="14.4" x14ac:dyDescent="0.25">
      <c r="A13" s="38">
        <v>12</v>
      </c>
      <c r="B13" s="38">
        <v>249</v>
      </c>
      <c r="C13" s="38"/>
      <c r="D13" s="38">
        <v>243</v>
      </c>
      <c r="E13" s="38">
        <v>6</v>
      </c>
      <c r="F13" s="38">
        <v>6</v>
      </c>
      <c r="G13" s="38">
        <v>36</v>
      </c>
      <c r="H13" s="38">
        <v>2.4096385542168677</v>
      </c>
      <c r="I13" s="38"/>
      <c r="J13" s="38">
        <v>4.8659169550173019E-4</v>
      </c>
      <c r="K13" s="38">
        <v>7.1501946366782018E-3</v>
      </c>
    </row>
    <row r="15" spans="1:11" ht="14.4" x14ac:dyDescent="0.25">
      <c r="F15" s="32" t="s">
        <v>34</v>
      </c>
      <c r="G15" s="32" t="s">
        <v>33</v>
      </c>
      <c r="H15" s="32" t="s">
        <v>35</v>
      </c>
      <c r="J15" t="s">
        <v>98</v>
      </c>
    </row>
    <row r="16" spans="1:11" ht="14.4" x14ac:dyDescent="0.25">
      <c r="F16" s="32">
        <v>46.583333333333336</v>
      </c>
      <c r="G16" s="32">
        <v>4322.25</v>
      </c>
      <c r="H16" s="32">
        <v>21.241135557490836</v>
      </c>
      <c r="J16">
        <v>0.79206739348932886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zoomScaleNormal="100" workbookViewId="0">
      <selection activeCell="A22" sqref="A22:B37"/>
    </sheetView>
  </sheetViews>
  <sheetFormatPr defaultRowHeight="13.2" x14ac:dyDescent="0.25"/>
  <sheetData>
    <row r="1" spans="1:4" x14ac:dyDescent="0.25">
      <c r="A1" s="18" t="s">
        <v>124</v>
      </c>
      <c r="B1" s="18" t="s">
        <v>125</v>
      </c>
      <c r="C1" s="18" t="s">
        <v>126</v>
      </c>
    </row>
    <row r="2" spans="1:4" x14ac:dyDescent="0.25">
      <c r="A2">
        <v>9.58905106780822E-2</v>
      </c>
      <c r="B2" s="14">
        <v>0.17059296809316099</v>
      </c>
      <c r="C2" s="14">
        <v>-0.17059296809316099</v>
      </c>
      <c r="D2">
        <v>1</v>
      </c>
    </row>
    <row r="3" spans="1:4" x14ac:dyDescent="0.25">
      <c r="A3">
        <v>0.20847899666558381</v>
      </c>
      <c r="B3" s="14">
        <v>0.17059296809316099</v>
      </c>
      <c r="C3" s="14">
        <v>-0.17059296809316099</v>
      </c>
      <c r="D3">
        <v>2</v>
      </c>
    </row>
    <row r="4" spans="1:4" x14ac:dyDescent="0.25">
      <c r="A4">
        <v>0.20792766445599317</v>
      </c>
      <c r="B4" s="14">
        <v>0.17059296809316099</v>
      </c>
      <c r="C4" s="14">
        <v>-0.17059296809316099</v>
      </c>
      <c r="D4">
        <v>3</v>
      </c>
    </row>
    <row r="5" spans="1:4" x14ac:dyDescent="0.25">
      <c r="A5">
        <v>3.6404502557551063E-3</v>
      </c>
      <c r="B5" s="14">
        <v>0.17059296809316099</v>
      </c>
      <c r="C5" s="14">
        <v>-0.17059296809316099</v>
      </c>
      <c r="D5">
        <v>4</v>
      </c>
    </row>
    <row r="6" spans="1:4" x14ac:dyDescent="0.25">
      <c r="A6">
        <v>2.4859404185436501E-2</v>
      </c>
      <c r="B6" s="14">
        <v>0.17059296809316099</v>
      </c>
      <c r="C6" s="14">
        <v>-0.17059296809316099</v>
      </c>
      <c r="D6">
        <v>5</v>
      </c>
    </row>
    <row r="7" spans="1:4" x14ac:dyDescent="0.25">
      <c r="A7">
        <v>6.2501583085731893E-2</v>
      </c>
      <c r="B7" s="14">
        <v>0.17059296809316099</v>
      </c>
      <c r="C7" s="14">
        <v>-0.17059296809316099</v>
      </c>
      <c r="D7">
        <v>6</v>
      </c>
    </row>
    <row r="8" spans="1:4" x14ac:dyDescent="0.25">
      <c r="A8">
        <v>6.0679625744542963E-3</v>
      </c>
      <c r="B8" s="14">
        <v>0.17059296809316099</v>
      </c>
      <c r="C8" s="14">
        <v>-0.17059296809316099</v>
      </c>
      <c r="D8">
        <v>7</v>
      </c>
    </row>
    <row r="9" spans="1:4" x14ac:dyDescent="0.25">
      <c r="A9">
        <v>-0.10451332450939055</v>
      </c>
      <c r="B9" s="14">
        <v>0.17059296809316099</v>
      </c>
      <c r="C9" s="14">
        <v>-0.17059296809316099</v>
      </c>
      <c r="D9">
        <v>8</v>
      </c>
    </row>
    <row r="10" spans="1:4" x14ac:dyDescent="0.25">
      <c r="A10">
        <v>2.5489794214872706E-2</v>
      </c>
      <c r="B10" s="14">
        <v>0.17059296809316099</v>
      </c>
      <c r="C10" s="14">
        <v>-0.17059296809316099</v>
      </c>
      <c r="D10">
        <v>9</v>
      </c>
    </row>
    <row r="11" spans="1:4" x14ac:dyDescent="0.25">
      <c r="A11">
        <v>9.2563672520833071E-2</v>
      </c>
      <c r="B11" s="14">
        <v>0.17059296809316099</v>
      </c>
      <c r="C11" s="14">
        <v>-0.17059296809316099</v>
      </c>
      <c r="D11">
        <v>10</v>
      </c>
    </row>
    <row r="12" spans="1:4" x14ac:dyDescent="0.25">
      <c r="A12">
        <v>0.15364552487333094</v>
      </c>
      <c r="B12" s="14">
        <v>0.17059296809316099</v>
      </c>
      <c r="C12" s="14">
        <v>-0.17059296809316099</v>
      </c>
      <c r="D12">
        <v>11</v>
      </c>
    </row>
    <row r="13" spans="1:4" x14ac:dyDescent="0.25">
      <c r="A13">
        <v>0.37707578440751366</v>
      </c>
      <c r="B13" s="14">
        <v>0.17059296809316099</v>
      </c>
      <c r="C13" s="14">
        <v>-0.17059296809316099</v>
      </c>
      <c r="D13">
        <v>12</v>
      </c>
    </row>
    <row r="14" spans="1:4" x14ac:dyDescent="0.25">
      <c r="A14">
        <v>0.15762482753159615</v>
      </c>
      <c r="B14" s="14">
        <v>0.17059296809316099</v>
      </c>
      <c r="C14" s="14">
        <v>-0.17059296809316099</v>
      </c>
      <c r="D14">
        <v>13</v>
      </c>
    </row>
    <row r="15" spans="1:4" x14ac:dyDescent="0.25">
      <c r="A15">
        <v>9.8773590071871878E-2</v>
      </c>
      <c r="B15" s="14">
        <v>0.17059296809316099</v>
      </c>
      <c r="C15" s="14">
        <v>-0.17059296809316099</v>
      </c>
      <c r="D15">
        <v>14</v>
      </c>
    </row>
    <row r="16" spans="1:4" x14ac:dyDescent="0.25">
      <c r="A16">
        <v>8.0476072445725078E-2</v>
      </c>
      <c r="B16" s="14">
        <v>0.17059296809316099</v>
      </c>
      <c r="C16" s="14">
        <v>-0.17059296809316099</v>
      </c>
      <c r="D16">
        <v>15</v>
      </c>
    </row>
    <row r="22" spans="1:2" ht="18" x14ac:dyDescent="0.25">
      <c r="A22" s="44" t="s">
        <v>127</v>
      </c>
      <c r="B22" s="45" t="s">
        <v>128</v>
      </c>
    </row>
    <row r="23" spans="1:2" x14ac:dyDescent="0.25">
      <c r="A23">
        <v>9.58905106780822E-2</v>
      </c>
      <c r="B23">
        <v>1</v>
      </c>
    </row>
    <row r="24" spans="1:2" x14ac:dyDescent="0.25">
      <c r="A24">
        <v>0.20847899666558381</v>
      </c>
      <c r="B24">
        <v>2</v>
      </c>
    </row>
    <row r="25" spans="1:2" x14ac:dyDescent="0.25">
      <c r="A25">
        <v>0.20792766445599317</v>
      </c>
      <c r="B25">
        <v>3</v>
      </c>
    </row>
    <row r="26" spans="1:2" x14ac:dyDescent="0.25">
      <c r="A26">
        <v>3.6404502557551063E-3</v>
      </c>
      <c r="B26">
        <v>4</v>
      </c>
    </row>
    <row r="27" spans="1:2" x14ac:dyDescent="0.25">
      <c r="A27">
        <v>2.4859404185436501E-2</v>
      </c>
      <c r="B27">
        <v>5</v>
      </c>
    </row>
    <row r="28" spans="1:2" x14ac:dyDescent="0.25">
      <c r="A28">
        <v>6.2501583085731893E-2</v>
      </c>
      <c r="B28">
        <v>6</v>
      </c>
    </row>
    <row r="29" spans="1:2" x14ac:dyDescent="0.25">
      <c r="A29">
        <v>6.0679625744542963E-3</v>
      </c>
      <c r="B29">
        <v>7</v>
      </c>
    </row>
    <row r="30" spans="1:2" x14ac:dyDescent="0.25">
      <c r="A30">
        <v>-0.10451332450939055</v>
      </c>
      <c r="B30">
        <v>8</v>
      </c>
    </row>
    <row r="31" spans="1:2" x14ac:dyDescent="0.25">
      <c r="A31">
        <v>2.5489794214872706E-2</v>
      </c>
      <c r="B31">
        <v>9</v>
      </c>
    </row>
    <row r="32" spans="1:2" x14ac:dyDescent="0.25">
      <c r="A32">
        <v>9.2563672520833071E-2</v>
      </c>
      <c r="B32">
        <v>10</v>
      </c>
    </row>
    <row r="33" spans="1:2" x14ac:dyDescent="0.25">
      <c r="A33">
        <v>0.15364552487333094</v>
      </c>
      <c r="B33">
        <v>11</v>
      </c>
    </row>
    <row r="34" spans="1:2" x14ac:dyDescent="0.25">
      <c r="A34">
        <v>0.37707578440751366</v>
      </c>
      <c r="B34">
        <v>12</v>
      </c>
    </row>
    <row r="35" spans="1:2" x14ac:dyDescent="0.25">
      <c r="A35">
        <v>0.15762482753159615</v>
      </c>
      <c r="B35">
        <v>13</v>
      </c>
    </row>
    <row r="36" spans="1:2" x14ac:dyDescent="0.25">
      <c r="A36">
        <v>9.8773590071871878E-2</v>
      </c>
      <c r="B36">
        <v>14</v>
      </c>
    </row>
    <row r="37" spans="1:2" x14ac:dyDescent="0.25">
      <c r="A37">
        <v>8.0476072445725078E-2</v>
      </c>
      <c r="B37">
        <v>15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72"/>
  <sheetViews>
    <sheetView topLeftCell="S115" zoomScale="70" zoomScaleNormal="70" workbookViewId="0">
      <selection activeCell="AC160" sqref="AC160:AE172"/>
    </sheetView>
  </sheetViews>
  <sheetFormatPr defaultRowHeight="13.2" x14ac:dyDescent="0.25"/>
  <cols>
    <col min="22" max="22" width="12.109375" customWidth="1"/>
    <col min="23" max="23" width="13.77734375" customWidth="1"/>
    <col min="24" max="24" width="16.6640625" customWidth="1"/>
    <col min="25" max="25" width="18" customWidth="1"/>
    <col min="30" max="30" width="18.33203125" customWidth="1"/>
    <col min="32" max="32" width="14.5546875" customWidth="1"/>
  </cols>
  <sheetData>
    <row r="1" spans="1:30" x14ac:dyDescent="0.25">
      <c r="A1" s="17" t="s">
        <v>14</v>
      </c>
      <c r="B1" s="14" t="s">
        <v>129</v>
      </c>
      <c r="C1" s="17" t="s">
        <v>13</v>
      </c>
      <c r="V1" t="s">
        <v>130</v>
      </c>
    </row>
    <row r="2" spans="1:30" ht="13.8" thickBot="1" x14ac:dyDescent="0.3">
      <c r="A2" s="15">
        <v>1</v>
      </c>
      <c r="B2">
        <f>LN(C2)</f>
        <v>5.4510384535657002</v>
      </c>
      <c r="C2" s="15">
        <v>233</v>
      </c>
    </row>
    <row r="3" spans="1:30" x14ac:dyDescent="0.25">
      <c r="A3" s="15">
        <v>2</v>
      </c>
      <c r="B3">
        <f t="shared" ref="B3:B66" si="0">LN(C3)</f>
        <v>4.6634390941120669</v>
      </c>
      <c r="C3" s="15">
        <v>106</v>
      </c>
      <c r="K3" s="41"/>
      <c r="L3" s="41"/>
      <c r="V3" s="41" t="s">
        <v>131</v>
      </c>
      <c r="W3" s="41"/>
    </row>
    <row r="4" spans="1:30" x14ac:dyDescent="0.25">
      <c r="A4" s="15">
        <v>3</v>
      </c>
      <c r="B4">
        <f t="shared" si="0"/>
        <v>5.1761497325738288</v>
      </c>
      <c r="C4" s="15">
        <v>177</v>
      </c>
      <c r="K4" s="39"/>
      <c r="L4" s="39"/>
      <c r="V4" s="39" t="s">
        <v>132</v>
      </c>
      <c r="W4" s="39">
        <v>0.37928725307812833</v>
      </c>
    </row>
    <row r="5" spans="1:30" x14ac:dyDescent="0.25">
      <c r="A5" s="15">
        <v>4</v>
      </c>
      <c r="B5">
        <f t="shared" si="0"/>
        <v>5.1647859739235145</v>
      </c>
      <c r="C5" s="15">
        <v>175</v>
      </c>
      <c r="K5" s="39"/>
      <c r="L5" s="39"/>
      <c r="V5" s="39" t="s">
        <v>133</v>
      </c>
      <c r="W5" s="39">
        <v>0.14385882034755215</v>
      </c>
    </row>
    <row r="6" spans="1:30" x14ac:dyDescent="0.25">
      <c r="A6" s="15">
        <v>5</v>
      </c>
      <c r="B6">
        <f t="shared" si="0"/>
        <v>5.181783550292085</v>
      </c>
      <c r="C6" s="15">
        <v>178</v>
      </c>
      <c r="K6" s="39"/>
      <c r="L6" s="39"/>
      <c r="V6" s="39" t="s">
        <v>134</v>
      </c>
      <c r="W6" s="39">
        <v>0.13727311896561023</v>
      </c>
    </row>
    <row r="7" spans="1:30" x14ac:dyDescent="0.25">
      <c r="A7" s="15">
        <v>6</v>
      </c>
      <c r="B7">
        <f t="shared" si="0"/>
        <v>5.1357984370502621</v>
      </c>
      <c r="C7" s="15">
        <v>170</v>
      </c>
      <c r="K7" s="39"/>
      <c r="L7" s="39"/>
      <c r="V7" s="39" t="s">
        <v>101</v>
      </c>
      <c r="W7" s="39">
        <v>0.40299597198029097</v>
      </c>
    </row>
    <row r="8" spans="1:30" ht="13.8" thickBot="1" x14ac:dyDescent="0.3">
      <c r="A8" s="15">
        <v>7</v>
      </c>
      <c r="B8">
        <f t="shared" si="0"/>
        <v>5.2933048247244923</v>
      </c>
      <c r="C8" s="15">
        <v>199</v>
      </c>
      <c r="K8" s="40"/>
      <c r="L8" s="40"/>
      <c r="V8" s="40" t="s">
        <v>135</v>
      </c>
      <c r="W8" s="40">
        <v>132</v>
      </c>
    </row>
    <row r="9" spans="1:30" x14ac:dyDescent="0.25">
      <c r="A9" s="15">
        <v>8</v>
      </c>
      <c r="B9">
        <f t="shared" si="0"/>
        <v>4.7621739347977563</v>
      </c>
      <c r="C9" s="15">
        <v>117</v>
      </c>
    </row>
    <row r="10" spans="1:30" ht="13.8" thickBot="1" x14ac:dyDescent="0.3">
      <c r="A10" s="15">
        <v>9</v>
      </c>
      <c r="B10">
        <f t="shared" si="0"/>
        <v>4.8040210447332568</v>
      </c>
      <c r="C10" s="15">
        <v>122</v>
      </c>
      <c r="V10" t="s">
        <v>136</v>
      </c>
    </row>
    <row r="11" spans="1:30" x14ac:dyDescent="0.25">
      <c r="A11" s="15">
        <v>10</v>
      </c>
      <c r="B11">
        <f t="shared" si="0"/>
        <v>4.9126548857360524</v>
      </c>
      <c r="C11" s="15">
        <v>136</v>
      </c>
      <c r="K11" s="43"/>
      <c r="L11" s="43"/>
      <c r="M11" s="43"/>
      <c r="N11" s="43"/>
      <c r="O11" s="43"/>
      <c r="P11" s="43"/>
      <c r="V11" s="43"/>
      <c r="W11" s="43" t="s">
        <v>140</v>
      </c>
      <c r="X11" s="43" t="s">
        <v>141</v>
      </c>
      <c r="Y11" s="43" t="s">
        <v>142</v>
      </c>
      <c r="Z11" s="43" t="s">
        <v>143</v>
      </c>
      <c r="AA11" s="43" t="s">
        <v>144</v>
      </c>
    </row>
    <row r="12" spans="1:30" x14ac:dyDescent="0.25">
      <c r="A12" s="15">
        <v>11</v>
      </c>
      <c r="B12">
        <f t="shared" si="0"/>
        <v>4.8675344504555822</v>
      </c>
      <c r="C12" s="15">
        <v>130</v>
      </c>
      <c r="K12" s="39"/>
      <c r="L12" s="39"/>
      <c r="M12" s="39"/>
      <c r="N12" s="39"/>
      <c r="O12" s="39"/>
      <c r="P12" s="39"/>
      <c r="V12" s="39" t="s">
        <v>137</v>
      </c>
      <c r="W12" s="39">
        <v>1</v>
      </c>
      <c r="X12" s="39">
        <v>3.5476100040756258</v>
      </c>
      <c r="Y12" s="39">
        <v>3.5476100040756258</v>
      </c>
      <c r="Z12" s="39">
        <v>21.844115304410135</v>
      </c>
      <c r="AA12" s="39">
        <v>7.291896289494785E-6</v>
      </c>
    </row>
    <row r="13" spans="1:30" x14ac:dyDescent="0.25">
      <c r="A13" s="15">
        <v>12</v>
      </c>
      <c r="B13">
        <f t="shared" si="0"/>
        <v>4.219507705176107</v>
      </c>
      <c r="C13" s="15">
        <v>68</v>
      </c>
      <c r="K13" s="39"/>
      <c r="L13" s="39"/>
      <c r="M13" s="39"/>
      <c r="N13" s="39"/>
      <c r="O13" s="39"/>
      <c r="P13" s="39"/>
      <c r="V13" s="39" t="s">
        <v>138</v>
      </c>
      <c r="W13" s="39">
        <v>130</v>
      </c>
      <c r="X13" s="39">
        <v>21.112747946204134</v>
      </c>
      <c r="Y13" s="39">
        <v>0.16240575343233948</v>
      </c>
      <c r="Z13" s="39"/>
      <c r="AA13" s="39"/>
    </row>
    <row r="14" spans="1:30" ht="13.8" thickBot="1" x14ac:dyDescent="0.3">
      <c r="A14" s="15">
        <v>13</v>
      </c>
      <c r="B14">
        <f t="shared" si="0"/>
        <v>5.1873858058407549</v>
      </c>
      <c r="C14" s="15">
        <v>179</v>
      </c>
      <c r="K14" s="40"/>
      <c r="L14" s="40"/>
      <c r="M14" s="40"/>
      <c r="N14" s="40"/>
      <c r="O14" s="40"/>
      <c r="P14" s="40"/>
      <c r="V14" s="40" t="s">
        <v>12</v>
      </c>
      <c r="W14" s="40">
        <v>131</v>
      </c>
      <c r="X14" s="40">
        <v>24.66035795027976</v>
      </c>
      <c r="Y14" s="40"/>
      <c r="Z14" s="40"/>
      <c r="AA14" s="40"/>
    </row>
    <row r="15" spans="1:30" ht="13.8" thickBot="1" x14ac:dyDescent="0.3">
      <c r="A15" s="15">
        <v>14</v>
      </c>
      <c r="B15">
        <f t="shared" si="0"/>
        <v>4.6443908991413725</v>
      </c>
      <c r="C15" s="15">
        <v>104</v>
      </c>
    </row>
    <row r="16" spans="1:30" x14ac:dyDescent="0.25">
      <c r="A16" s="15">
        <v>15</v>
      </c>
      <c r="B16">
        <f t="shared" si="0"/>
        <v>4.8903491282217537</v>
      </c>
      <c r="C16" s="15">
        <v>133</v>
      </c>
      <c r="K16" s="43"/>
      <c r="L16" s="43"/>
      <c r="M16" s="43"/>
      <c r="N16" s="43"/>
      <c r="O16" s="43"/>
      <c r="P16" s="43"/>
      <c r="Q16" s="43"/>
      <c r="R16" s="43"/>
      <c r="S16" s="43"/>
      <c r="V16" s="43"/>
      <c r="W16" s="43" t="s">
        <v>145</v>
      </c>
      <c r="X16" s="43" t="s">
        <v>101</v>
      </c>
      <c r="Y16" s="43" t="s">
        <v>146</v>
      </c>
      <c r="Z16" s="43" t="s">
        <v>147</v>
      </c>
      <c r="AA16" s="43" t="s">
        <v>148</v>
      </c>
      <c r="AB16" s="43" t="s">
        <v>149</v>
      </c>
      <c r="AC16" s="43" t="s">
        <v>150</v>
      </c>
      <c r="AD16" s="43" t="s">
        <v>151</v>
      </c>
    </row>
    <row r="17" spans="1:35" x14ac:dyDescent="0.25">
      <c r="A17" s="15">
        <v>16</v>
      </c>
      <c r="B17">
        <f t="shared" si="0"/>
        <v>5.0937502008067623</v>
      </c>
      <c r="C17" s="15">
        <v>163</v>
      </c>
      <c r="K17" s="39"/>
      <c r="L17" s="39"/>
      <c r="M17" s="39"/>
      <c r="N17" s="39"/>
      <c r="O17" s="39"/>
      <c r="P17" s="39"/>
      <c r="Q17" s="39"/>
      <c r="R17" s="39"/>
      <c r="S17" s="39"/>
      <c r="V17" s="39" t="s">
        <v>139</v>
      </c>
      <c r="W17" s="39">
        <v>5.0668910582187783</v>
      </c>
      <c r="X17" s="39">
        <v>7.0553087962845304E-2</v>
      </c>
      <c r="Y17" s="39">
        <v>71.816715674969558</v>
      </c>
      <c r="Z17" s="39">
        <v>1.7528631998949289E-106</v>
      </c>
      <c r="AA17" s="39">
        <v>4.9273102114493046</v>
      </c>
      <c r="AB17" s="39">
        <v>5.206471904988252</v>
      </c>
      <c r="AC17" s="39">
        <v>4.9273102114493046</v>
      </c>
      <c r="AD17" s="39">
        <v>5.206471904988252</v>
      </c>
    </row>
    <row r="18" spans="1:35" ht="13.8" thickBot="1" x14ac:dyDescent="0.3">
      <c r="A18" s="15">
        <v>17</v>
      </c>
      <c r="B18">
        <f t="shared" si="0"/>
        <v>5.1647859739235145</v>
      </c>
      <c r="C18" s="15">
        <v>175</v>
      </c>
      <c r="K18" s="40"/>
      <c r="L18" s="40"/>
      <c r="M18" s="40"/>
      <c r="N18" s="40"/>
      <c r="O18" s="40"/>
      <c r="P18" s="40"/>
      <c r="Q18" s="40"/>
      <c r="R18" s="40"/>
      <c r="S18" s="40"/>
      <c r="V18" s="40" t="s">
        <v>14</v>
      </c>
      <c r="W18" s="40">
        <v>4.3023934585288337E-3</v>
      </c>
      <c r="X18" s="40">
        <v>9.2054048725012747E-4</v>
      </c>
      <c r="Y18" s="40">
        <v>4.6737688544054183</v>
      </c>
      <c r="Z18" s="40">
        <v>7.291896289494785E-6</v>
      </c>
      <c r="AA18" s="40">
        <v>2.4812141961325271E-3</v>
      </c>
      <c r="AB18" s="40">
        <v>6.1235727209251398E-3</v>
      </c>
      <c r="AC18" s="40">
        <v>2.4812141961325271E-3</v>
      </c>
      <c r="AD18" s="40">
        <v>6.1235727209251398E-3</v>
      </c>
    </row>
    <row r="19" spans="1:35" x14ac:dyDescent="0.25">
      <c r="A19" s="15">
        <v>18</v>
      </c>
      <c r="B19">
        <f t="shared" si="0"/>
        <v>5.0937502008067623</v>
      </c>
      <c r="C19" s="15">
        <v>163</v>
      </c>
    </row>
    <row r="20" spans="1:35" x14ac:dyDescent="0.25">
      <c r="A20" s="15">
        <v>19</v>
      </c>
      <c r="B20">
        <f t="shared" si="0"/>
        <v>5.0498560072495371</v>
      </c>
      <c r="C20" s="15">
        <v>156</v>
      </c>
    </row>
    <row r="21" spans="1:35" x14ac:dyDescent="0.25">
      <c r="A21" s="15">
        <v>20</v>
      </c>
      <c r="B21">
        <f t="shared" si="0"/>
        <v>4.8121843553724171</v>
      </c>
      <c r="C21" s="15">
        <v>123</v>
      </c>
    </row>
    <row r="22" spans="1:35" x14ac:dyDescent="0.25">
      <c r="A22" s="15">
        <v>21</v>
      </c>
      <c r="B22">
        <f t="shared" si="0"/>
        <v>4.9767337424205742</v>
      </c>
      <c r="C22" s="15">
        <v>145</v>
      </c>
      <c r="V22" t="s">
        <v>152</v>
      </c>
      <c r="AA22" t="s">
        <v>156</v>
      </c>
    </row>
    <row r="23" spans="1:35" ht="13.8" thickBot="1" x14ac:dyDescent="0.3">
      <c r="A23" s="15">
        <v>22</v>
      </c>
      <c r="B23">
        <f t="shared" si="0"/>
        <v>5.2832037287379885</v>
      </c>
      <c r="C23" s="15">
        <v>197</v>
      </c>
    </row>
    <row r="24" spans="1:35" x14ac:dyDescent="0.25">
      <c r="A24" s="15">
        <v>23</v>
      </c>
      <c r="B24">
        <f t="shared" si="0"/>
        <v>5.2311086168545868</v>
      </c>
      <c r="C24" s="15">
        <v>187</v>
      </c>
      <c r="K24" s="43"/>
      <c r="L24" s="43"/>
      <c r="M24" s="43"/>
      <c r="N24" s="43"/>
      <c r="P24" s="43"/>
      <c r="Q24" s="43"/>
      <c r="V24" s="43" t="s">
        <v>153</v>
      </c>
      <c r="W24" s="43" t="s">
        <v>158</v>
      </c>
      <c r="X24" s="43" t="s">
        <v>154</v>
      </c>
      <c r="Y24" s="43" t="s">
        <v>155</v>
      </c>
      <c r="AA24" s="43" t="s">
        <v>157</v>
      </c>
      <c r="AB24" s="43" t="s">
        <v>129</v>
      </c>
      <c r="AD24" s="46" t="s">
        <v>159</v>
      </c>
      <c r="AE24" s="46" t="s">
        <v>160</v>
      </c>
      <c r="AF24" s="46" t="s">
        <v>154</v>
      </c>
      <c r="AG24" s="46" t="s">
        <v>161</v>
      </c>
      <c r="AH24" s="46" t="s">
        <v>162</v>
      </c>
      <c r="AI24" s="46" t="s">
        <v>33</v>
      </c>
    </row>
    <row r="25" spans="1:35" x14ac:dyDescent="0.25">
      <c r="A25" s="15">
        <v>24</v>
      </c>
      <c r="B25">
        <f t="shared" si="0"/>
        <v>4.9344739331306915</v>
      </c>
      <c r="C25" s="15">
        <v>139</v>
      </c>
      <c r="K25" s="39"/>
      <c r="L25" s="39"/>
      <c r="M25" s="39"/>
      <c r="N25" s="39"/>
      <c r="P25" s="39"/>
      <c r="Q25" s="39"/>
      <c r="V25" s="39">
        <v>1</v>
      </c>
      <c r="W25" s="39">
        <v>5.0711934516773072</v>
      </c>
      <c r="X25" s="39">
        <v>0.37984500188839299</v>
      </c>
      <c r="Y25" s="39">
        <v>0.94617110830988194</v>
      </c>
      <c r="AA25" s="39">
        <v>0.37878787878787878</v>
      </c>
      <c r="AB25" s="39">
        <v>3.784189633918261</v>
      </c>
      <c r="AD25">
        <f>EXP(W25)</f>
        <v>159.36440761449708</v>
      </c>
      <c r="AE25" s="15">
        <v>233</v>
      </c>
      <c r="AF25">
        <f>AE25-AD25</f>
        <v>73.635592385502918</v>
      </c>
      <c r="AG25">
        <f>AF25^2</f>
        <v>5422.2004659639351</v>
      </c>
      <c r="AH25">
        <f>SUM(AG25:AG156)</f>
        <v>1296557.8541628222</v>
      </c>
      <c r="AI25">
        <f>AH25/W8</f>
        <v>9822.4079860819875</v>
      </c>
    </row>
    <row r="26" spans="1:35" x14ac:dyDescent="0.25">
      <c r="A26" s="15">
        <v>25</v>
      </c>
      <c r="B26">
        <f t="shared" si="0"/>
        <v>5.6801726090170677</v>
      </c>
      <c r="C26" s="15">
        <v>293</v>
      </c>
      <c r="K26" s="39"/>
      <c r="L26" s="39"/>
      <c r="M26" s="39"/>
      <c r="N26" s="39"/>
      <c r="P26" s="39"/>
      <c r="Q26" s="39"/>
      <c r="V26" s="39">
        <v>2</v>
      </c>
      <c r="W26" s="39">
        <v>5.0754958451358361</v>
      </c>
      <c r="X26" s="39">
        <v>-0.41205675102376915</v>
      </c>
      <c r="Y26" s="39">
        <v>-1.0264086426423038</v>
      </c>
      <c r="AA26" s="39">
        <v>1.1363636363636362</v>
      </c>
      <c r="AB26" s="39">
        <v>4.1743872698956368</v>
      </c>
      <c r="AD26">
        <f t="shared" ref="AD26:AD89" si="1">EXP(W26)</f>
        <v>160.05153308147271</v>
      </c>
      <c r="AE26" s="15">
        <v>106</v>
      </c>
      <c r="AF26">
        <f t="shared" ref="AF26:AF89" si="2">AE26-AD26</f>
        <v>-54.051533081472712</v>
      </c>
      <c r="AG26">
        <f t="shared" ref="AG26:AG89" si="3">AF26^2</f>
        <v>2921.5682284575391</v>
      </c>
    </row>
    <row r="27" spans="1:35" x14ac:dyDescent="0.25">
      <c r="A27" s="15">
        <v>26</v>
      </c>
      <c r="B27">
        <f t="shared" si="0"/>
        <v>5.0562458053483077</v>
      </c>
      <c r="C27" s="15">
        <v>157</v>
      </c>
      <c r="K27" s="39"/>
      <c r="L27" s="39"/>
      <c r="M27" s="39"/>
      <c r="N27" s="39"/>
      <c r="P27" s="39"/>
      <c r="Q27" s="39"/>
      <c r="V27" s="39">
        <v>3</v>
      </c>
      <c r="W27" s="39">
        <v>5.079798238594365</v>
      </c>
      <c r="X27" s="39">
        <v>9.6351493979463854E-2</v>
      </c>
      <c r="Y27" s="39">
        <v>0.24000579023716775</v>
      </c>
      <c r="AA27" s="39">
        <v>1.893939393939394</v>
      </c>
      <c r="AB27" s="39">
        <v>4.219507705176107</v>
      </c>
      <c r="AD27">
        <f t="shared" si="1"/>
        <v>160.7416212012416</v>
      </c>
      <c r="AE27" s="15">
        <v>177</v>
      </c>
      <c r="AF27">
        <f t="shared" si="2"/>
        <v>16.2583787987584</v>
      </c>
      <c r="AG27">
        <f t="shared" si="3"/>
        <v>264.33488116391663</v>
      </c>
    </row>
    <row r="28" spans="1:35" x14ac:dyDescent="0.25">
      <c r="A28" s="15">
        <v>27</v>
      </c>
      <c r="B28">
        <f t="shared" si="0"/>
        <v>5.1239639794032588</v>
      </c>
      <c r="C28" s="15">
        <v>168</v>
      </c>
      <c r="K28" s="39"/>
      <c r="L28" s="39"/>
      <c r="M28" s="39"/>
      <c r="N28" s="39"/>
      <c r="P28" s="39"/>
      <c r="Q28" s="39"/>
      <c r="V28" s="39">
        <v>4</v>
      </c>
      <c r="W28" s="39">
        <v>5.0841006320528939</v>
      </c>
      <c r="X28" s="39">
        <v>8.0685341870620597E-2</v>
      </c>
      <c r="Y28" s="39">
        <v>0.20098234533178841</v>
      </c>
      <c r="AA28" s="39">
        <v>2.6515151515151514</v>
      </c>
      <c r="AB28" s="39">
        <v>4.5108595065168497</v>
      </c>
      <c r="AD28">
        <f t="shared" si="1"/>
        <v>161.43468474776137</v>
      </c>
      <c r="AE28" s="15">
        <v>175</v>
      </c>
      <c r="AF28">
        <f t="shared" si="2"/>
        <v>13.565315252238634</v>
      </c>
      <c r="AG28">
        <f t="shared" si="3"/>
        <v>184.01777789261811</v>
      </c>
    </row>
    <row r="29" spans="1:35" x14ac:dyDescent="0.25">
      <c r="A29" s="15">
        <v>28</v>
      </c>
      <c r="B29">
        <f t="shared" si="0"/>
        <v>5.1590552992145291</v>
      </c>
      <c r="C29" s="15">
        <v>174</v>
      </c>
      <c r="K29" s="39"/>
      <c r="L29" s="39"/>
      <c r="M29" s="39"/>
      <c r="N29" s="39"/>
      <c r="P29" s="39"/>
      <c r="Q29" s="39"/>
      <c r="V29" s="39">
        <v>5</v>
      </c>
      <c r="W29" s="39">
        <v>5.0884030255114228</v>
      </c>
      <c r="X29" s="39">
        <v>9.3380524780662277E-2</v>
      </c>
      <c r="Y29" s="39">
        <v>0.23260528422653304</v>
      </c>
      <c r="AA29" s="39">
        <v>3.4090909090909092</v>
      </c>
      <c r="AB29" s="39">
        <v>4.6443908991413725</v>
      </c>
      <c r="AD29">
        <f t="shared" si="1"/>
        <v>162.13073655006656</v>
      </c>
      <c r="AE29" s="15">
        <v>178</v>
      </c>
      <c r="AF29">
        <f t="shared" si="2"/>
        <v>15.869263449933442</v>
      </c>
      <c r="AG29">
        <f t="shared" si="3"/>
        <v>251.83352244339343</v>
      </c>
    </row>
    <row r="30" spans="1:35" x14ac:dyDescent="0.25">
      <c r="A30" s="15">
        <v>29</v>
      </c>
      <c r="B30">
        <f t="shared" si="0"/>
        <v>5.8348107370626048</v>
      </c>
      <c r="C30" s="15">
        <v>342</v>
      </c>
      <c r="K30" s="39"/>
      <c r="L30" s="39"/>
      <c r="M30" s="39"/>
      <c r="N30" s="39"/>
      <c r="P30" s="39"/>
      <c r="Q30" s="39"/>
      <c r="V30" s="39">
        <v>6</v>
      </c>
      <c r="W30" s="39">
        <v>5.0927054189699517</v>
      </c>
      <c r="X30" s="39">
        <v>4.3093018080310408E-2</v>
      </c>
      <c r="Y30" s="39">
        <v>0.10734212237823579</v>
      </c>
      <c r="AA30" s="39">
        <v>4.166666666666667</v>
      </c>
      <c r="AB30" s="39">
        <v>4.6634390941120669</v>
      </c>
      <c r="AD30">
        <f t="shared" si="1"/>
        <v>162.82978949250622</v>
      </c>
      <c r="AE30" s="15">
        <v>170</v>
      </c>
      <c r="AF30">
        <f t="shared" si="2"/>
        <v>7.1702105074937776</v>
      </c>
      <c r="AG30">
        <f t="shared" si="3"/>
        <v>51.411918721774178</v>
      </c>
    </row>
    <row r="31" spans="1:35" x14ac:dyDescent="0.25">
      <c r="A31" s="15">
        <v>30</v>
      </c>
      <c r="B31">
        <f t="shared" si="0"/>
        <v>5.4249500174814029</v>
      </c>
      <c r="C31" s="15">
        <v>227</v>
      </c>
      <c r="K31" s="39"/>
      <c r="L31" s="39"/>
      <c r="M31" s="39"/>
      <c r="N31" s="39"/>
      <c r="P31" s="39"/>
      <c r="Q31" s="39"/>
      <c r="V31" s="39">
        <v>7</v>
      </c>
      <c r="W31" s="39">
        <v>5.0970078124284797</v>
      </c>
      <c r="X31" s="39">
        <v>0.1962970122960126</v>
      </c>
      <c r="Y31" s="39">
        <v>0.48896407944998732</v>
      </c>
      <c r="AA31" s="39">
        <v>4.9242424242424239</v>
      </c>
      <c r="AB31" s="39">
        <v>4.6821312271242199</v>
      </c>
      <c r="AD31">
        <f t="shared" si="1"/>
        <v>163.53185651498222</v>
      </c>
      <c r="AE31" s="15">
        <v>199</v>
      </c>
      <c r="AF31">
        <f t="shared" si="2"/>
        <v>35.468143485017777</v>
      </c>
      <c r="AG31">
        <f t="shared" si="3"/>
        <v>1257.989202273809</v>
      </c>
    </row>
    <row r="32" spans="1:35" x14ac:dyDescent="0.25">
      <c r="A32" s="15">
        <v>31</v>
      </c>
      <c r="B32">
        <f t="shared" si="0"/>
        <v>5.3327187932653688</v>
      </c>
      <c r="C32" s="15">
        <v>207</v>
      </c>
      <c r="K32" s="39"/>
      <c r="L32" s="39"/>
      <c r="M32" s="39"/>
      <c r="N32" s="39"/>
      <c r="P32" s="39"/>
      <c r="Q32" s="39"/>
      <c r="V32" s="39">
        <v>8</v>
      </c>
      <c r="W32" s="39">
        <v>5.1013102058870086</v>
      </c>
      <c r="X32" s="39">
        <v>-0.33913627108925226</v>
      </c>
      <c r="Y32" s="39">
        <v>-0.84476810248744683</v>
      </c>
      <c r="AA32" s="39">
        <v>5.6818181818181817</v>
      </c>
      <c r="AB32" s="39">
        <v>4.7535901911063645</v>
      </c>
      <c r="AD32">
        <f t="shared" si="1"/>
        <v>164.23695061318932</v>
      </c>
      <c r="AE32" s="15">
        <v>117</v>
      </c>
      <c r="AF32">
        <f t="shared" si="2"/>
        <v>-47.236950613189322</v>
      </c>
      <c r="AG32">
        <f t="shared" si="3"/>
        <v>2231.329503232887</v>
      </c>
    </row>
    <row r="33" spans="1:33" x14ac:dyDescent="0.25">
      <c r="A33" s="15">
        <v>32</v>
      </c>
      <c r="B33">
        <f t="shared" si="0"/>
        <v>5.0106352940962555</v>
      </c>
      <c r="C33" s="15">
        <v>150</v>
      </c>
      <c r="K33" s="39"/>
      <c r="L33" s="39"/>
      <c r="M33" s="39"/>
      <c r="N33" s="39"/>
      <c r="P33" s="39"/>
      <c r="Q33" s="39"/>
      <c r="V33" s="39">
        <v>9</v>
      </c>
      <c r="W33" s="39">
        <v>5.1056125993455375</v>
      </c>
      <c r="X33" s="39">
        <v>-0.30159155461228071</v>
      </c>
      <c r="Y33" s="39">
        <v>-0.75124646649489502</v>
      </c>
      <c r="AA33" s="39">
        <v>6.4393939393939394</v>
      </c>
      <c r="AB33" s="39">
        <v>4.7621739347977563</v>
      </c>
      <c r="AD33">
        <f t="shared" si="1"/>
        <v>164.94508483885488</v>
      </c>
      <c r="AE33" s="15">
        <v>122</v>
      </c>
      <c r="AF33">
        <f t="shared" si="2"/>
        <v>-42.945084838854882</v>
      </c>
      <c r="AG33">
        <f t="shared" si="3"/>
        <v>1844.2803118164434</v>
      </c>
    </row>
    <row r="34" spans="1:33" x14ac:dyDescent="0.25">
      <c r="A34" s="15">
        <v>33</v>
      </c>
      <c r="B34">
        <f t="shared" si="0"/>
        <v>5.1416635565026603</v>
      </c>
      <c r="C34" s="15">
        <v>171</v>
      </c>
      <c r="K34" s="39"/>
      <c r="L34" s="39"/>
      <c r="M34" s="39"/>
      <c r="N34" s="39"/>
      <c r="P34" s="39"/>
      <c r="Q34" s="39"/>
      <c r="V34" s="39">
        <v>10</v>
      </c>
      <c r="W34" s="39">
        <v>5.1099149928040664</v>
      </c>
      <c r="X34" s="39">
        <v>-0.197260107068014</v>
      </c>
      <c r="Y34" s="39">
        <v>-0.49136309073959689</v>
      </c>
      <c r="AA34" s="39">
        <v>7.1969696969696972</v>
      </c>
      <c r="AB34" s="39">
        <v>4.7706846244656651</v>
      </c>
      <c r="AD34">
        <f t="shared" si="1"/>
        <v>165.65627229998105</v>
      </c>
      <c r="AE34" s="15">
        <v>136</v>
      </c>
      <c r="AF34">
        <f t="shared" si="2"/>
        <v>-29.656272299981055</v>
      </c>
      <c r="AG34">
        <f t="shared" si="3"/>
        <v>879.49448673062363</v>
      </c>
    </row>
    <row r="35" spans="1:33" x14ac:dyDescent="0.25">
      <c r="A35" s="15">
        <v>34</v>
      </c>
      <c r="B35">
        <f t="shared" si="0"/>
        <v>5.3798973535404597</v>
      </c>
      <c r="C35" s="15">
        <v>217</v>
      </c>
      <c r="K35" s="39"/>
      <c r="L35" s="39"/>
      <c r="M35" s="39"/>
      <c r="N35" s="39"/>
      <c r="P35" s="39"/>
      <c r="Q35" s="39"/>
      <c r="V35" s="39">
        <v>11</v>
      </c>
      <c r="W35" s="39">
        <v>5.1142173862625953</v>
      </c>
      <c r="X35" s="39">
        <v>-0.24668293580701306</v>
      </c>
      <c r="Y35" s="39">
        <v>-0.61447239166842171</v>
      </c>
      <c r="AA35" s="39">
        <v>7.954545454545455</v>
      </c>
      <c r="AB35" s="39">
        <v>4.7957905455967413</v>
      </c>
      <c r="AD35">
        <f t="shared" si="1"/>
        <v>166.37052616108733</v>
      </c>
      <c r="AE35" s="15">
        <v>130</v>
      </c>
      <c r="AF35">
        <f t="shared" si="2"/>
        <v>-36.370526161087326</v>
      </c>
      <c r="AG35">
        <f t="shared" si="3"/>
        <v>1322.8151732343376</v>
      </c>
    </row>
    <row r="36" spans="1:33" x14ac:dyDescent="0.25">
      <c r="A36" s="15">
        <v>35</v>
      </c>
      <c r="B36">
        <f t="shared" si="0"/>
        <v>5.0039463059454592</v>
      </c>
      <c r="C36" s="15">
        <v>149</v>
      </c>
      <c r="K36" s="39"/>
      <c r="L36" s="39"/>
      <c r="M36" s="39"/>
      <c r="N36" s="39"/>
      <c r="P36" s="39"/>
      <c r="Q36" s="39"/>
      <c r="V36" s="39">
        <v>12</v>
      </c>
      <c r="W36" s="39">
        <v>5.1185197797211242</v>
      </c>
      <c r="X36" s="39">
        <v>-0.89901207454501719</v>
      </c>
      <c r="Y36" s="39">
        <v>-2.239385135324635</v>
      </c>
      <c r="AA36" s="39">
        <v>8.7121212121212128</v>
      </c>
      <c r="AB36" s="39">
        <v>4.8040210447332568</v>
      </c>
      <c r="AD36">
        <f t="shared" si="1"/>
        <v>167.08785964345407</v>
      </c>
      <c r="AE36" s="15">
        <v>68</v>
      </c>
      <c r="AF36">
        <f t="shared" si="2"/>
        <v>-99.087859643454067</v>
      </c>
      <c r="AG36">
        <f t="shared" si="3"/>
        <v>9818.4039287208525</v>
      </c>
    </row>
    <row r="37" spans="1:33" x14ac:dyDescent="0.25">
      <c r="A37" s="15">
        <v>36</v>
      </c>
      <c r="B37">
        <f t="shared" si="0"/>
        <v>5.181783550292085</v>
      </c>
      <c r="C37" s="15">
        <v>178</v>
      </c>
      <c r="K37" s="39"/>
      <c r="L37" s="39"/>
      <c r="M37" s="39"/>
      <c r="N37" s="39"/>
      <c r="P37" s="39"/>
      <c r="Q37" s="39"/>
      <c r="V37" s="39">
        <v>13</v>
      </c>
      <c r="W37" s="39">
        <v>5.122822173179653</v>
      </c>
      <c r="X37" s="39">
        <v>6.4563632661101877E-2</v>
      </c>
      <c r="Y37" s="39">
        <v>0.16082413502288484</v>
      </c>
      <c r="AA37" s="39">
        <v>9.4696969696969688</v>
      </c>
      <c r="AB37" s="39">
        <v>4.8121843553724171</v>
      </c>
      <c r="AD37">
        <f t="shared" si="1"/>
        <v>167.80828602536738</v>
      </c>
      <c r="AE37" s="15">
        <v>179</v>
      </c>
      <c r="AF37">
        <f t="shared" si="2"/>
        <v>11.19171397463262</v>
      </c>
      <c r="AG37">
        <f t="shared" si="3"/>
        <v>125.25446168998708</v>
      </c>
    </row>
    <row r="38" spans="1:33" x14ac:dyDescent="0.25">
      <c r="A38" s="15">
        <v>37</v>
      </c>
      <c r="B38">
        <f t="shared" si="0"/>
        <v>5.4071717714601188</v>
      </c>
      <c r="C38" s="15">
        <v>223</v>
      </c>
      <c r="K38" s="39"/>
      <c r="L38" s="39"/>
      <c r="M38" s="39"/>
      <c r="N38" s="39"/>
      <c r="P38" s="39"/>
      <c r="Q38" s="39"/>
      <c r="V38" s="39">
        <v>14</v>
      </c>
      <c r="W38" s="39">
        <v>5.1271245666381819</v>
      </c>
      <c r="X38" s="39">
        <v>-0.48273366749680946</v>
      </c>
      <c r="Y38" s="39">
        <v>-1.2024606008325294</v>
      </c>
      <c r="AA38" s="39">
        <v>10.227272727272727</v>
      </c>
      <c r="AB38" s="39">
        <v>4.8675344504555822</v>
      </c>
      <c r="AD38">
        <f t="shared" si="1"/>
        <v>168.53181864236481</v>
      </c>
      <c r="AE38" s="15">
        <v>104</v>
      </c>
      <c r="AF38">
        <f t="shared" si="2"/>
        <v>-64.531818642364811</v>
      </c>
      <c r="AG38">
        <f t="shared" si="3"/>
        <v>4164.355617291063</v>
      </c>
    </row>
    <row r="39" spans="1:33" x14ac:dyDescent="0.25">
      <c r="A39" s="15">
        <v>38</v>
      </c>
      <c r="B39">
        <f t="shared" si="0"/>
        <v>5.0689042022202315</v>
      </c>
      <c r="C39" s="15">
        <v>159</v>
      </c>
      <c r="K39" s="39"/>
      <c r="L39" s="39"/>
      <c r="M39" s="39"/>
      <c r="N39" s="39"/>
      <c r="P39" s="39"/>
      <c r="Q39" s="39"/>
      <c r="V39" s="39">
        <v>15</v>
      </c>
      <c r="W39" s="39">
        <v>5.1314269600967108</v>
      </c>
      <c r="X39" s="39">
        <v>-0.24107783187495713</v>
      </c>
      <c r="Y39" s="39">
        <v>-0.60051041409014705</v>
      </c>
      <c r="AA39" s="39">
        <v>10.984848484848484</v>
      </c>
      <c r="AB39" s="39">
        <v>4.8675344504555822</v>
      </c>
      <c r="AD39">
        <f t="shared" si="1"/>
        <v>169.25847088748228</v>
      </c>
      <c r="AE39" s="15">
        <v>133</v>
      </c>
      <c r="AF39">
        <f t="shared" si="2"/>
        <v>-36.258470887482275</v>
      </c>
      <c r="AG39">
        <f t="shared" si="3"/>
        <v>1314.6767110983997</v>
      </c>
    </row>
    <row r="40" spans="1:33" x14ac:dyDescent="0.25">
      <c r="A40" s="15">
        <v>39</v>
      </c>
      <c r="B40">
        <f t="shared" si="0"/>
        <v>5.7365722974791922</v>
      </c>
      <c r="C40" s="15">
        <v>310</v>
      </c>
      <c r="K40" s="39"/>
      <c r="L40" s="39"/>
      <c r="M40" s="39"/>
      <c r="N40" s="39"/>
      <c r="P40" s="39"/>
      <c r="Q40" s="39"/>
      <c r="V40" s="39">
        <v>16</v>
      </c>
      <c r="W40" s="39">
        <v>5.1357293535552397</v>
      </c>
      <c r="X40" s="39">
        <v>-4.1979152748477411E-2</v>
      </c>
      <c r="Y40" s="39">
        <v>-0.10456755067059477</v>
      </c>
      <c r="AA40" s="39">
        <v>11.742424242424242</v>
      </c>
      <c r="AB40" s="39">
        <v>4.8751973232011512</v>
      </c>
      <c r="AD40">
        <f t="shared" si="1"/>
        <v>169.98825621150189</v>
      </c>
      <c r="AE40" s="15">
        <v>163</v>
      </c>
      <c r="AF40">
        <f t="shared" si="2"/>
        <v>-6.9882562115018914</v>
      </c>
      <c r="AG40">
        <f t="shared" si="3"/>
        <v>48.835724877594764</v>
      </c>
    </row>
    <row r="41" spans="1:33" x14ac:dyDescent="0.25">
      <c r="A41" s="15">
        <v>40</v>
      </c>
      <c r="B41">
        <f t="shared" si="0"/>
        <v>5.9135030056382698</v>
      </c>
      <c r="C41" s="15">
        <v>370</v>
      </c>
      <c r="K41" s="39"/>
      <c r="L41" s="39"/>
      <c r="M41" s="39"/>
      <c r="N41" s="39"/>
      <c r="P41" s="39"/>
      <c r="Q41" s="39"/>
      <c r="V41" s="39">
        <v>17</v>
      </c>
      <c r="W41" s="39">
        <v>5.1400317470137686</v>
      </c>
      <c r="X41" s="39">
        <v>2.4754226909745825E-2</v>
      </c>
      <c r="Y41" s="39">
        <v>6.1661293933335325E-2</v>
      </c>
      <c r="AA41" s="39">
        <v>12.5</v>
      </c>
      <c r="AB41" s="39">
        <v>4.8903491282217537</v>
      </c>
      <c r="AD41">
        <f t="shared" si="1"/>
        <v>170.7211881232011</v>
      </c>
      <c r="AE41" s="15">
        <v>175</v>
      </c>
      <c r="AF41">
        <f t="shared" si="2"/>
        <v>4.2788118767988976</v>
      </c>
      <c r="AG41">
        <f t="shared" si="3"/>
        <v>18.308231077035305</v>
      </c>
    </row>
    <row r="42" spans="1:33" x14ac:dyDescent="0.25">
      <c r="A42" s="15">
        <v>41</v>
      </c>
      <c r="B42">
        <f t="shared" si="0"/>
        <v>5.6419070709381138</v>
      </c>
      <c r="C42" s="15">
        <v>282</v>
      </c>
      <c r="K42" s="39"/>
      <c r="L42" s="39"/>
      <c r="M42" s="39"/>
      <c r="N42" s="39"/>
      <c r="P42" s="39"/>
      <c r="Q42" s="39"/>
      <c r="V42" s="39">
        <v>18</v>
      </c>
      <c r="W42" s="39">
        <v>5.1443341404722975</v>
      </c>
      <c r="X42" s="39">
        <v>-5.0583939665535205E-2</v>
      </c>
      <c r="Y42" s="39">
        <v>-0.12600155857804943</v>
      </c>
      <c r="AA42" s="39">
        <v>13.257575757575758</v>
      </c>
      <c r="AB42" s="39">
        <v>4.9126548857360524</v>
      </c>
      <c r="AD42">
        <f t="shared" si="1"/>
        <v>171.4572801896025</v>
      </c>
      <c r="AE42" s="15">
        <v>163</v>
      </c>
      <c r="AF42">
        <f t="shared" si="2"/>
        <v>-8.4572801896024998</v>
      </c>
      <c r="AG42">
        <f t="shared" si="3"/>
        <v>71.525588205442901</v>
      </c>
    </row>
    <row r="43" spans="1:33" x14ac:dyDescent="0.25">
      <c r="A43" s="15">
        <v>42</v>
      </c>
      <c r="B43">
        <f t="shared" si="0"/>
        <v>5.4161004022044201</v>
      </c>
      <c r="C43" s="15">
        <v>225</v>
      </c>
      <c r="K43" s="39"/>
      <c r="L43" s="39"/>
      <c r="M43" s="39"/>
      <c r="N43" s="39"/>
      <c r="P43" s="39"/>
      <c r="Q43" s="39"/>
      <c r="V43" s="39">
        <v>19</v>
      </c>
      <c r="W43" s="39">
        <v>5.1486365339308264</v>
      </c>
      <c r="X43" s="39">
        <v>-9.8780526681289338E-2</v>
      </c>
      <c r="Y43" s="39">
        <v>-0.24605636495101499</v>
      </c>
      <c r="AA43" s="39">
        <v>14.015151515151516</v>
      </c>
      <c r="AB43" s="39">
        <v>4.9344739331306915</v>
      </c>
      <c r="AD43">
        <f t="shared" si="1"/>
        <v>172.19654603622519</v>
      </c>
      <c r="AE43" s="15">
        <v>156</v>
      </c>
      <c r="AF43">
        <f t="shared" si="2"/>
        <v>-16.196546036225186</v>
      </c>
      <c r="AG43">
        <f t="shared" si="3"/>
        <v>262.32810350356181</v>
      </c>
    </row>
    <row r="44" spans="1:33" x14ac:dyDescent="0.25">
      <c r="A44" s="15">
        <v>43</v>
      </c>
      <c r="B44">
        <f t="shared" si="0"/>
        <v>5.3752784076841653</v>
      </c>
      <c r="C44" s="15">
        <v>216</v>
      </c>
      <c r="K44" s="39"/>
      <c r="L44" s="39"/>
      <c r="M44" s="39"/>
      <c r="N44" s="39"/>
      <c r="P44" s="39"/>
      <c r="Q44" s="39"/>
      <c r="V44" s="39">
        <v>20</v>
      </c>
      <c r="W44" s="39">
        <v>5.1529389273893553</v>
      </c>
      <c r="X44" s="39">
        <v>-0.34075457201693826</v>
      </c>
      <c r="Y44" s="39">
        <v>-0.84879919299730033</v>
      </c>
      <c r="AA44" s="39">
        <v>14.772727272727273</v>
      </c>
      <c r="AB44" s="39">
        <v>4.9487598903781684</v>
      </c>
      <c r="AD44">
        <f t="shared" si="1"/>
        <v>172.93899934733685</v>
      </c>
      <c r="AE44" s="15">
        <v>123</v>
      </c>
      <c r="AF44">
        <f t="shared" si="2"/>
        <v>-49.938999347336846</v>
      </c>
      <c r="AG44">
        <f t="shared" si="3"/>
        <v>2493.9036558133098</v>
      </c>
    </row>
    <row r="45" spans="1:33" x14ac:dyDescent="0.25">
      <c r="A45" s="15">
        <v>44</v>
      </c>
      <c r="B45">
        <f t="shared" si="0"/>
        <v>4.8675344504555822</v>
      </c>
      <c r="C45" s="15">
        <v>130</v>
      </c>
      <c r="K45" s="39"/>
      <c r="L45" s="39"/>
      <c r="M45" s="39"/>
      <c r="N45" s="39"/>
      <c r="P45" s="39"/>
      <c r="Q45" s="39"/>
      <c r="V45" s="39">
        <v>21</v>
      </c>
      <c r="W45" s="39">
        <v>5.1572413208478842</v>
      </c>
      <c r="X45" s="39">
        <v>-0.18050757842731002</v>
      </c>
      <c r="Y45" s="39">
        <v>-0.44963354707792924</v>
      </c>
      <c r="AA45" s="39">
        <v>15.530303030303031</v>
      </c>
      <c r="AB45" s="39">
        <v>4.9698132995760007</v>
      </c>
      <c r="AD45">
        <f t="shared" si="1"/>
        <v>173.68465386620716</v>
      </c>
      <c r="AE45" s="15">
        <v>145</v>
      </c>
      <c r="AF45">
        <f t="shared" si="2"/>
        <v>-28.684653866207157</v>
      </c>
      <c r="AG45">
        <f t="shared" si="3"/>
        <v>822.80936742411313</v>
      </c>
    </row>
    <row r="46" spans="1:33" x14ac:dyDescent="0.25">
      <c r="A46" s="15">
        <v>45</v>
      </c>
      <c r="B46">
        <f t="shared" si="0"/>
        <v>5.3278761687895813</v>
      </c>
      <c r="C46" s="15">
        <v>206</v>
      </c>
      <c r="K46" s="39"/>
      <c r="L46" s="39"/>
      <c r="M46" s="39"/>
      <c r="N46" s="39"/>
      <c r="P46" s="39"/>
      <c r="Q46" s="39"/>
      <c r="V46" s="39">
        <v>22</v>
      </c>
      <c r="W46" s="39">
        <v>5.1615437143064122</v>
      </c>
      <c r="X46" s="39">
        <v>0.12166001443157626</v>
      </c>
      <c r="Y46" s="39">
        <v>0.30304779612591298</v>
      </c>
      <c r="AA46" s="39">
        <v>16.287878787878785</v>
      </c>
      <c r="AB46" s="39">
        <v>4.9698132995760007</v>
      </c>
      <c r="AD46">
        <f t="shared" si="1"/>
        <v>174.4335233953619</v>
      </c>
      <c r="AE46" s="15">
        <v>197</v>
      </c>
      <c r="AF46">
        <f t="shared" si="2"/>
        <v>22.566476604638098</v>
      </c>
      <c r="AG46">
        <f t="shared" si="3"/>
        <v>509.2458663476786</v>
      </c>
    </row>
    <row r="47" spans="1:33" x14ac:dyDescent="0.25">
      <c r="A47" s="15">
        <v>46</v>
      </c>
      <c r="B47">
        <f t="shared" si="0"/>
        <v>4.990432586778736</v>
      </c>
      <c r="C47" s="15">
        <v>147</v>
      </c>
      <c r="K47" s="39"/>
      <c r="L47" s="39"/>
      <c r="M47" s="39"/>
      <c r="N47" s="39"/>
      <c r="P47" s="39"/>
      <c r="Q47" s="39"/>
      <c r="V47" s="39">
        <v>23</v>
      </c>
      <c r="W47" s="39">
        <v>5.1658461077649411</v>
      </c>
      <c r="X47" s="39">
        <v>6.5262509089645704E-2</v>
      </c>
      <c r="Y47" s="39">
        <v>0.16256499427252491</v>
      </c>
      <c r="AA47" s="39">
        <v>17.045454545454547</v>
      </c>
      <c r="AB47" s="39">
        <v>4.9698132995760007</v>
      </c>
      <c r="AD47">
        <f t="shared" si="1"/>
        <v>175.18562179683923</v>
      </c>
      <c r="AE47" s="15">
        <v>187</v>
      </c>
      <c r="AF47">
        <f t="shared" si="2"/>
        <v>11.814378203160771</v>
      </c>
      <c r="AG47">
        <f t="shared" si="3"/>
        <v>139.57953232732035</v>
      </c>
    </row>
    <row r="48" spans="1:33" x14ac:dyDescent="0.25">
      <c r="A48" s="15">
        <v>47</v>
      </c>
      <c r="B48">
        <f t="shared" si="0"/>
        <v>5.2832037287379885</v>
      </c>
      <c r="C48" s="15">
        <v>197</v>
      </c>
      <c r="K48" s="39"/>
      <c r="L48" s="39"/>
      <c r="M48" s="39"/>
      <c r="N48" s="39"/>
      <c r="P48" s="39"/>
      <c r="Q48" s="39"/>
      <c r="V48" s="39">
        <v>24</v>
      </c>
      <c r="W48" s="39">
        <v>5.17014850122347</v>
      </c>
      <c r="X48" s="39">
        <v>-0.23567456809277854</v>
      </c>
      <c r="Y48" s="39">
        <v>-0.58705120821443912</v>
      </c>
      <c r="AA48" s="39">
        <v>17.803030303030305</v>
      </c>
      <c r="AB48" s="39">
        <v>4.9767337424205742</v>
      </c>
      <c r="AD48">
        <f t="shared" si="1"/>
        <v>175.94096299244521</v>
      </c>
      <c r="AE48" s="15">
        <v>139</v>
      </c>
      <c r="AF48">
        <f t="shared" si="2"/>
        <v>-36.940962992445208</v>
      </c>
      <c r="AG48">
        <f t="shared" si="3"/>
        <v>1364.6347468092065</v>
      </c>
    </row>
    <row r="49" spans="1:33" x14ac:dyDescent="0.25">
      <c r="A49" s="15">
        <v>48</v>
      </c>
      <c r="B49">
        <f t="shared" si="0"/>
        <v>5.3132059790417872</v>
      </c>
      <c r="C49" s="15">
        <v>203</v>
      </c>
      <c r="K49" s="39"/>
      <c r="L49" s="39"/>
      <c r="M49" s="39"/>
      <c r="N49" s="39"/>
      <c r="P49" s="39"/>
      <c r="Q49" s="39"/>
      <c r="V49" s="39">
        <v>25</v>
      </c>
      <c r="W49" s="39">
        <v>5.1744508946819989</v>
      </c>
      <c r="X49" s="39">
        <v>0.50572171433506874</v>
      </c>
      <c r="Y49" s="39">
        <v>1.2597224461818228</v>
      </c>
      <c r="AA49" s="39">
        <v>18.560606060606059</v>
      </c>
      <c r="AB49" s="39">
        <v>4.990432586778736</v>
      </c>
      <c r="AD49">
        <f t="shared" si="1"/>
        <v>176.69956096401216</v>
      </c>
      <c r="AE49" s="15">
        <v>293</v>
      </c>
      <c r="AF49">
        <f t="shared" si="2"/>
        <v>116.30043903598784</v>
      </c>
      <c r="AG49">
        <f t="shared" si="3"/>
        <v>13525.792119963524</v>
      </c>
    </row>
    <row r="50" spans="1:33" x14ac:dyDescent="0.25">
      <c r="A50" s="15">
        <v>49</v>
      </c>
      <c r="B50">
        <f t="shared" si="0"/>
        <v>5.0751738152338266</v>
      </c>
      <c r="C50" s="15">
        <v>160</v>
      </c>
      <c r="K50" s="39"/>
      <c r="L50" s="39"/>
      <c r="M50" s="39"/>
      <c r="N50" s="39"/>
      <c r="P50" s="39"/>
      <c r="Q50" s="39"/>
      <c r="V50" s="39">
        <v>26</v>
      </c>
      <c r="W50" s="39">
        <v>5.1787532881405278</v>
      </c>
      <c r="X50" s="39">
        <v>-0.12250748279222012</v>
      </c>
      <c r="Y50" s="39">
        <v>-0.30515878896262683</v>
      </c>
      <c r="AA50" s="39">
        <v>19.318181818181817</v>
      </c>
      <c r="AB50" s="39">
        <v>5.0039463059454592</v>
      </c>
      <c r="AD50">
        <f t="shared" si="1"/>
        <v>177.4614297536574</v>
      </c>
      <c r="AE50" s="15">
        <v>157</v>
      </c>
      <c r="AF50">
        <f t="shared" si="2"/>
        <v>-20.461429753657399</v>
      </c>
      <c r="AG50">
        <f t="shared" si="3"/>
        <v>418.67010756385628</v>
      </c>
    </row>
    <row r="51" spans="1:33" x14ac:dyDescent="0.25">
      <c r="A51" s="15">
        <v>50</v>
      </c>
      <c r="B51">
        <f t="shared" si="0"/>
        <v>5.1984970312658261</v>
      </c>
      <c r="C51" s="15">
        <v>181</v>
      </c>
      <c r="K51" s="39"/>
      <c r="L51" s="39"/>
      <c r="M51" s="39"/>
      <c r="N51" s="39"/>
      <c r="P51" s="39"/>
      <c r="Q51" s="39"/>
      <c r="V51" s="39">
        <v>27</v>
      </c>
      <c r="W51" s="39">
        <v>5.1830556815990567</v>
      </c>
      <c r="X51" s="39">
        <v>-5.9091702195797957E-2</v>
      </c>
      <c r="Y51" s="39">
        <v>-0.14719388455963811</v>
      </c>
      <c r="AA51" s="39">
        <v>20.075757575757574</v>
      </c>
      <c r="AB51" s="39">
        <v>5.0106352940962555</v>
      </c>
      <c r="AD51">
        <f t="shared" si="1"/>
        <v>178.22658346404305</v>
      </c>
      <c r="AE51" s="15">
        <v>168</v>
      </c>
      <c r="AF51">
        <f t="shared" si="2"/>
        <v>-10.226583464043046</v>
      </c>
      <c r="AG51">
        <f t="shared" si="3"/>
        <v>104.58300934703865</v>
      </c>
    </row>
    <row r="52" spans="1:33" x14ac:dyDescent="0.25">
      <c r="A52" s="15">
        <v>51</v>
      </c>
      <c r="B52">
        <f t="shared" si="0"/>
        <v>5.4161004022044201</v>
      </c>
      <c r="C52" s="15">
        <v>225</v>
      </c>
      <c r="K52" s="39"/>
      <c r="L52" s="39"/>
      <c r="M52" s="39"/>
      <c r="N52" s="39"/>
      <c r="P52" s="39"/>
      <c r="Q52" s="39"/>
      <c r="V52" s="39">
        <v>28</v>
      </c>
      <c r="W52" s="39">
        <v>5.1873580750575856</v>
      </c>
      <c r="X52" s="39">
        <v>-2.8302775843056516E-2</v>
      </c>
      <c r="Y52" s="39">
        <v>-7.0500516406792918E-2</v>
      </c>
      <c r="AA52" s="39">
        <v>20.833333333333332</v>
      </c>
      <c r="AB52" s="39">
        <v>5.0304379213924353</v>
      </c>
      <c r="AD52">
        <f t="shared" si="1"/>
        <v>178.99503625863721</v>
      </c>
      <c r="AE52" s="15">
        <v>174</v>
      </c>
      <c r="AF52">
        <f t="shared" si="2"/>
        <v>-4.9950362586372137</v>
      </c>
      <c r="AG52">
        <f t="shared" si="3"/>
        <v>24.950387225100453</v>
      </c>
    </row>
    <row r="53" spans="1:33" x14ac:dyDescent="0.25">
      <c r="A53" s="15">
        <v>52</v>
      </c>
      <c r="B53">
        <f t="shared" si="0"/>
        <v>6.0330862217988015</v>
      </c>
      <c r="C53" s="15">
        <v>417</v>
      </c>
      <c r="K53" s="39"/>
      <c r="L53" s="39"/>
      <c r="M53" s="39"/>
      <c r="N53" s="39"/>
      <c r="P53" s="39"/>
      <c r="Q53" s="39"/>
      <c r="V53" s="39">
        <v>29</v>
      </c>
      <c r="W53" s="39">
        <v>5.1916604685161145</v>
      </c>
      <c r="X53" s="39">
        <v>0.64315026854649027</v>
      </c>
      <c r="Y53" s="39">
        <v>1.6020487287581338</v>
      </c>
      <c r="AA53" s="39">
        <v>21.59090909090909</v>
      </c>
      <c r="AB53" s="39">
        <v>5.0434251169192468</v>
      </c>
      <c r="AD53">
        <f t="shared" si="1"/>
        <v>179.76680236197603</v>
      </c>
      <c r="AE53" s="15">
        <v>342</v>
      </c>
      <c r="AF53">
        <f t="shared" si="2"/>
        <v>162.23319763802397</v>
      </c>
      <c r="AG53">
        <f t="shared" si="3"/>
        <v>26319.610415858144</v>
      </c>
    </row>
    <row r="54" spans="1:33" x14ac:dyDescent="0.25">
      <c r="A54" s="15">
        <v>53</v>
      </c>
      <c r="B54">
        <f t="shared" si="0"/>
        <v>6.0913098820776979</v>
      </c>
      <c r="C54" s="15">
        <v>442</v>
      </c>
      <c r="K54" s="39"/>
      <c r="L54" s="39"/>
      <c r="M54" s="39"/>
      <c r="N54" s="39"/>
      <c r="P54" s="39"/>
      <c r="Q54" s="39"/>
      <c r="V54" s="39">
        <v>30</v>
      </c>
      <c r="W54" s="39">
        <v>5.1959628619746434</v>
      </c>
      <c r="X54" s="39">
        <v>0.22898715550675952</v>
      </c>
      <c r="Y54" s="39">
        <v>0.57039326471963914</v>
      </c>
      <c r="AA54" s="39">
        <v>22.348484848484848</v>
      </c>
      <c r="AB54" s="39">
        <v>5.0498560072495371</v>
      </c>
      <c r="AD54">
        <f t="shared" si="1"/>
        <v>180.54189605992701</v>
      </c>
      <c r="AE54" s="15">
        <v>227</v>
      </c>
      <c r="AF54">
        <f t="shared" si="2"/>
        <v>46.458103940072988</v>
      </c>
      <c r="AG54">
        <f t="shared" si="3"/>
        <v>2158.3554217066253</v>
      </c>
    </row>
    <row r="55" spans="1:33" x14ac:dyDescent="0.25">
      <c r="A55" s="15">
        <v>54</v>
      </c>
      <c r="B55">
        <f t="shared" si="0"/>
        <v>5.5012582105447274</v>
      </c>
      <c r="C55" s="15">
        <v>245</v>
      </c>
      <c r="K55" s="39"/>
      <c r="L55" s="39"/>
      <c r="M55" s="39"/>
      <c r="N55" s="39"/>
      <c r="P55" s="39"/>
      <c r="Q55" s="39"/>
      <c r="V55" s="39">
        <v>31</v>
      </c>
      <c r="W55" s="39">
        <v>5.2002652554331723</v>
      </c>
      <c r="X55" s="39">
        <v>0.13245353783219649</v>
      </c>
      <c r="Y55" s="39">
        <v>0.32993381528573373</v>
      </c>
      <c r="AA55" s="39">
        <v>23.106060606060606</v>
      </c>
      <c r="AB55" s="39">
        <v>5.0562458053483077</v>
      </c>
      <c r="AD55">
        <f t="shared" si="1"/>
        <v>181.32033169995358</v>
      </c>
      <c r="AE55" s="15">
        <v>207</v>
      </c>
      <c r="AF55">
        <f t="shared" si="2"/>
        <v>25.679668300046416</v>
      </c>
      <c r="AG55">
        <f t="shared" si="3"/>
        <v>659.44536400040874</v>
      </c>
    </row>
    <row r="56" spans="1:33" x14ac:dyDescent="0.25">
      <c r="A56" s="15">
        <v>55</v>
      </c>
      <c r="B56">
        <f t="shared" si="0"/>
        <v>5.5721540321777647</v>
      </c>
      <c r="C56" s="15">
        <v>263</v>
      </c>
      <c r="K56" s="39"/>
      <c r="L56" s="39"/>
      <c r="M56" s="39"/>
      <c r="N56" s="39"/>
      <c r="P56" s="39"/>
      <c r="Q56" s="39"/>
      <c r="V56" s="39">
        <v>32</v>
      </c>
      <c r="W56" s="39">
        <v>5.2045676488917012</v>
      </c>
      <c r="X56" s="39">
        <v>-0.19393235479544568</v>
      </c>
      <c r="Y56" s="39">
        <v>-0.48307385949984549</v>
      </c>
      <c r="AA56" s="39">
        <v>23.863636363636363</v>
      </c>
      <c r="AB56" s="39">
        <v>5.0689042022202315</v>
      </c>
      <c r="AD56">
        <f t="shared" si="1"/>
        <v>182.10212369138048</v>
      </c>
      <c r="AE56" s="15">
        <v>150</v>
      </c>
      <c r="AF56">
        <f t="shared" si="2"/>
        <v>-32.102123691380484</v>
      </c>
      <c r="AG56">
        <f t="shared" si="3"/>
        <v>1030.5463454966921</v>
      </c>
    </row>
    <row r="57" spans="1:33" x14ac:dyDescent="0.25">
      <c r="A57" s="15">
        <v>56</v>
      </c>
      <c r="B57">
        <f t="shared" si="0"/>
        <v>4.7706846244656651</v>
      </c>
      <c r="C57" s="15">
        <v>118</v>
      </c>
      <c r="K57" s="39"/>
      <c r="L57" s="39"/>
      <c r="M57" s="39"/>
      <c r="N57" s="39"/>
      <c r="P57" s="39"/>
      <c r="Q57" s="39"/>
      <c r="V57" s="39">
        <v>33</v>
      </c>
      <c r="W57" s="39">
        <v>5.2088700423502301</v>
      </c>
      <c r="X57" s="39">
        <v>-6.720648584756983E-2</v>
      </c>
      <c r="Y57" s="39">
        <v>-0.16740732373435671</v>
      </c>
      <c r="AA57" s="39">
        <v>24.621212121212121</v>
      </c>
      <c r="AB57" s="39">
        <v>5.0751738152338266</v>
      </c>
      <c r="AD57">
        <f t="shared" si="1"/>
        <v>182.88728650566068</v>
      </c>
      <c r="AE57" s="15">
        <v>171</v>
      </c>
      <c r="AF57">
        <f t="shared" si="2"/>
        <v>-11.887286505660683</v>
      </c>
      <c r="AG57">
        <f t="shared" si="3"/>
        <v>141.30758046766258</v>
      </c>
    </row>
    <row r="58" spans="1:33" x14ac:dyDescent="0.25">
      <c r="A58" s="15">
        <v>57</v>
      </c>
      <c r="B58">
        <f t="shared" si="0"/>
        <v>4.9698132995760007</v>
      </c>
      <c r="C58" s="15">
        <v>144</v>
      </c>
      <c r="K58" s="39"/>
      <c r="L58" s="39"/>
      <c r="M58" s="39"/>
      <c r="N58" s="39"/>
      <c r="P58" s="39"/>
      <c r="Q58" s="39"/>
      <c r="V58" s="39">
        <v>34</v>
      </c>
      <c r="W58" s="39">
        <v>5.213172435808759</v>
      </c>
      <c r="X58" s="39">
        <v>0.16672491773170073</v>
      </c>
      <c r="Y58" s="39">
        <v>0.41530176626998966</v>
      </c>
      <c r="AA58" s="39">
        <v>25.378787878787879</v>
      </c>
      <c r="AB58" s="39">
        <v>5.0937502008067623</v>
      </c>
      <c r="AD58">
        <f t="shared" si="1"/>
        <v>183.67583467664312</v>
      </c>
      <c r="AE58" s="15">
        <v>217</v>
      </c>
      <c r="AF58">
        <f t="shared" si="2"/>
        <v>33.32416532335688</v>
      </c>
      <c r="AG58">
        <f t="shared" si="3"/>
        <v>1110.4999944984211</v>
      </c>
    </row>
    <row r="59" spans="1:33" x14ac:dyDescent="0.25">
      <c r="A59" s="15">
        <v>58</v>
      </c>
      <c r="B59">
        <f t="shared" si="0"/>
        <v>4.9698132995760007</v>
      </c>
      <c r="C59" s="15">
        <v>144</v>
      </c>
      <c r="K59" s="39"/>
      <c r="L59" s="39"/>
      <c r="M59" s="39"/>
      <c r="N59" s="39"/>
      <c r="P59" s="39"/>
      <c r="Q59" s="39"/>
      <c r="V59" s="39">
        <v>35</v>
      </c>
      <c r="W59" s="39">
        <v>5.217474829267287</v>
      </c>
      <c r="X59" s="39">
        <v>-0.21352852332182781</v>
      </c>
      <c r="Y59" s="39">
        <v>-0.5318867394931488</v>
      </c>
      <c r="AA59" s="39">
        <v>26.136363636363637</v>
      </c>
      <c r="AB59" s="39">
        <v>5.0937502008067623</v>
      </c>
      <c r="AD59">
        <f t="shared" si="1"/>
        <v>184.46778280084158</v>
      </c>
      <c r="AE59" s="15">
        <v>149</v>
      </c>
      <c r="AF59">
        <f t="shared" si="2"/>
        <v>-35.467782800841576</v>
      </c>
      <c r="AG59">
        <f t="shared" si="3"/>
        <v>1257.9636168076736</v>
      </c>
    </row>
    <row r="60" spans="1:33" x14ac:dyDescent="0.25">
      <c r="A60" s="15">
        <v>59</v>
      </c>
      <c r="B60">
        <f t="shared" si="0"/>
        <v>5.2364419628299492</v>
      </c>
      <c r="C60" s="15">
        <v>188</v>
      </c>
      <c r="K60" s="39"/>
      <c r="L60" s="39"/>
      <c r="M60" s="39"/>
      <c r="N60" s="39"/>
      <c r="P60" s="39"/>
      <c r="Q60" s="39"/>
      <c r="V60" s="39">
        <v>36</v>
      </c>
      <c r="W60" s="39">
        <v>5.2217772227258159</v>
      </c>
      <c r="X60" s="39">
        <v>-3.9993672433730865E-2</v>
      </c>
      <c r="Y60" s="39">
        <v>-9.9621838339007562E-2</v>
      </c>
      <c r="AA60" s="39">
        <v>26.893939393939394</v>
      </c>
      <c r="AB60" s="39">
        <v>5.0937502008067623</v>
      </c>
      <c r="AD60">
        <f t="shared" si="1"/>
        <v>185.26314553770567</v>
      </c>
      <c r="AE60" s="15">
        <v>178</v>
      </c>
      <c r="AF60">
        <f t="shared" si="2"/>
        <v>-7.2631455377056682</v>
      </c>
      <c r="AG60">
        <f t="shared" si="3"/>
        <v>52.753283101893757</v>
      </c>
    </row>
    <row r="61" spans="1:33" x14ac:dyDescent="0.25">
      <c r="A61" s="15">
        <v>60</v>
      </c>
      <c r="B61">
        <f t="shared" si="0"/>
        <v>4.5108595065168497</v>
      </c>
      <c r="C61" s="15">
        <v>91</v>
      </c>
      <c r="K61" s="39"/>
      <c r="L61" s="39"/>
      <c r="M61" s="39"/>
      <c r="N61" s="39"/>
      <c r="P61" s="39"/>
      <c r="Q61" s="39"/>
      <c r="V61" s="39">
        <v>37</v>
      </c>
      <c r="W61" s="39">
        <v>5.2260796161843448</v>
      </c>
      <c r="X61" s="39">
        <v>0.18109215527577405</v>
      </c>
      <c r="Y61" s="39">
        <v>0.45108969293177414</v>
      </c>
      <c r="AA61" s="39">
        <v>27.651515151515152</v>
      </c>
      <c r="AB61" s="39">
        <v>5.1059454739005803</v>
      </c>
      <c r="AD61">
        <f t="shared" si="1"/>
        <v>186.061937609891</v>
      </c>
      <c r="AE61" s="15">
        <v>223</v>
      </c>
      <c r="AF61">
        <f t="shared" si="2"/>
        <v>36.938062390108996</v>
      </c>
      <c r="AG61">
        <f t="shared" si="3"/>
        <v>1364.4204531355847</v>
      </c>
    </row>
    <row r="62" spans="1:33" x14ac:dyDescent="0.25">
      <c r="A62" s="15">
        <v>61</v>
      </c>
      <c r="B62">
        <f t="shared" si="0"/>
        <v>5.7365722974791922</v>
      </c>
      <c r="C62" s="15">
        <v>310</v>
      </c>
      <c r="K62" s="39"/>
      <c r="L62" s="39"/>
      <c r="M62" s="39"/>
      <c r="N62" s="39"/>
      <c r="P62" s="39"/>
      <c r="Q62" s="39"/>
      <c r="V62" s="39">
        <v>38</v>
      </c>
      <c r="W62" s="39">
        <v>5.2303820096428737</v>
      </c>
      <c r="X62" s="39">
        <v>-0.16147780742264217</v>
      </c>
      <c r="Y62" s="39">
        <v>-0.40223152932633005</v>
      </c>
      <c r="AA62" s="39">
        <v>28.40909090909091</v>
      </c>
      <c r="AB62" s="39">
        <v>5.1239639794032588</v>
      </c>
      <c r="AD62">
        <f t="shared" si="1"/>
        <v>186.86417380353251</v>
      </c>
      <c r="AE62" s="15">
        <v>159</v>
      </c>
      <c r="AF62">
        <f t="shared" si="2"/>
        <v>-27.864173803532509</v>
      </c>
      <c r="AG62">
        <f t="shared" si="3"/>
        <v>776.41218175346728</v>
      </c>
    </row>
    <row r="63" spans="1:33" x14ac:dyDescent="0.25">
      <c r="A63" s="15">
        <v>62</v>
      </c>
      <c r="B63">
        <f t="shared" si="0"/>
        <v>5.4205349992722862</v>
      </c>
      <c r="C63" s="15">
        <v>226</v>
      </c>
      <c r="K63" s="39"/>
      <c r="L63" s="39"/>
      <c r="M63" s="39"/>
      <c r="N63" s="39"/>
      <c r="P63" s="39"/>
      <c r="Q63" s="39"/>
      <c r="V63" s="39">
        <v>39</v>
      </c>
      <c r="W63" s="39">
        <v>5.2346844031014026</v>
      </c>
      <c r="X63" s="39">
        <v>0.50188789437778958</v>
      </c>
      <c r="Y63" s="39">
        <v>1.2501726307044425</v>
      </c>
      <c r="AA63" s="39">
        <v>29.166666666666668</v>
      </c>
      <c r="AB63" s="39">
        <v>5.1357984370502621</v>
      </c>
      <c r="AD63">
        <f t="shared" si="1"/>
        <v>187.66986896851796</v>
      </c>
      <c r="AE63" s="15">
        <v>310</v>
      </c>
      <c r="AF63">
        <f t="shared" si="2"/>
        <v>122.33013103148204</v>
      </c>
      <c r="AG63">
        <f t="shared" si="3"/>
        <v>14964.660958179566</v>
      </c>
    </row>
    <row r="64" spans="1:33" x14ac:dyDescent="0.25">
      <c r="A64" s="15">
        <v>63</v>
      </c>
      <c r="B64">
        <f t="shared" si="0"/>
        <v>5.5373342670185366</v>
      </c>
      <c r="C64" s="15">
        <v>254</v>
      </c>
      <c r="K64" s="39"/>
      <c r="L64" s="39"/>
      <c r="M64" s="39"/>
      <c r="N64" s="39"/>
      <c r="P64" s="39"/>
      <c r="Q64" s="39"/>
      <c r="V64" s="39">
        <v>40</v>
      </c>
      <c r="W64" s="39">
        <v>5.2389867965599315</v>
      </c>
      <c r="X64" s="39">
        <v>0.67451620907833831</v>
      </c>
      <c r="Y64" s="39">
        <v>1.6801794046092287</v>
      </c>
      <c r="AA64" s="39">
        <v>29.924242424242426</v>
      </c>
      <c r="AB64" s="39">
        <v>5.1416635565026603</v>
      </c>
      <c r="AD64">
        <f t="shared" si="1"/>
        <v>188.47903801876276</v>
      </c>
      <c r="AE64" s="15">
        <v>370</v>
      </c>
      <c r="AF64">
        <f t="shared" si="2"/>
        <v>181.52096198123724</v>
      </c>
      <c r="AG64">
        <f t="shared" si="3"/>
        <v>32949.859638593771</v>
      </c>
    </row>
    <row r="65" spans="1:33" x14ac:dyDescent="0.25">
      <c r="A65" s="15">
        <v>64</v>
      </c>
      <c r="B65">
        <f t="shared" si="0"/>
        <v>5.9532433342877846</v>
      </c>
      <c r="C65" s="15">
        <v>385</v>
      </c>
      <c r="K65" s="39"/>
      <c r="L65" s="39"/>
      <c r="M65" s="39"/>
      <c r="N65" s="39"/>
      <c r="P65" s="39"/>
      <c r="Q65" s="39"/>
      <c r="V65" s="39">
        <v>41</v>
      </c>
      <c r="W65" s="39">
        <v>5.2432891900184604</v>
      </c>
      <c r="X65" s="39">
        <v>0.39861788091965344</v>
      </c>
      <c r="Y65" s="39">
        <v>0.99293322356971114</v>
      </c>
      <c r="AA65" s="39">
        <v>30.681818181818183</v>
      </c>
      <c r="AB65" s="39">
        <v>5.1532915944977793</v>
      </c>
      <c r="AD65">
        <f t="shared" si="1"/>
        <v>189.29169593248616</v>
      </c>
      <c r="AE65" s="15">
        <v>282</v>
      </c>
      <c r="AF65">
        <f t="shared" si="2"/>
        <v>92.708304067513836</v>
      </c>
      <c r="AG65">
        <f t="shared" si="3"/>
        <v>8594.8296430746032</v>
      </c>
    </row>
    <row r="66" spans="1:33" x14ac:dyDescent="0.25">
      <c r="A66" s="15">
        <v>65</v>
      </c>
      <c r="B66">
        <f t="shared" si="0"/>
        <v>5.7620513827801769</v>
      </c>
      <c r="C66" s="15">
        <v>318</v>
      </c>
      <c r="K66" s="39"/>
      <c r="L66" s="39"/>
      <c r="M66" s="39"/>
      <c r="N66" s="39"/>
      <c r="P66" s="39"/>
      <c r="Q66" s="39"/>
      <c r="V66" s="39">
        <v>42</v>
      </c>
      <c r="W66" s="39">
        <v>5.2475915834769893</v>
      </c>
      <c r="X66" s="39">
        <v>0.16850881872743084</v>
      </c>
      <c r="Y66" s="39">
        <v>0.41974535661303441</v>
      </c>
      <c r="AA66" s="39">
        <v>31.439393939393938</v>
      </c>
      <c r="AB66" s="39">
        <v>5.1590552992145291</v>
      </c>
      <c r="AD66">
        <f t="shared" si="1"/>
        <v>190.10785775248834</v>
      </c>
      <c r="AE66" s="15">
        <v>225</v>
      </c>
      <c r="AF66">
        <f t="shared" si="2"/>
        <v>34.892142247511657</v>
      </c>
      <c r="AG66">
        <f t="shared" si="3"/>
        <v>1217.4615906205879</v>
      </c>
    </row>
    <row r="67" spans="1:33" x14ac:dyDescent="0.25">
      <c r="A67" s="15">
        <v>66</v>
      </c>
      <c r="B67">
        <f t="shared" ref="B67:B130" si="4">LN(C67)</f>
        <v>5.7620513827801769</v>
      </c>
      <c r="C67" s="15">
        <v>318</v>
      </c>
      <c r="K67" s="39"/>
      <c r="L67" s="39"/>
      <c r="M67" s="39"/>
      <c r="N67" s="39"/>
      <c r="P67" s="39"/>
      <c r="Q67" s="39"/>
      <c r="V67" s="39">
        <v>43</v>
      </c>
      <c r="W67" s="39">
        <v>5.2518939769355182</v>
      </c>
      <c r="X67" s="39">
        <v>0.12338443074864713</v>
      </c>
      <c r="Y67" s="39">
        <v>0.3073432137036069</v>
      </c>
      <c r="AA67" s="39">
        <v>32.196969696969695</v>
      </c>
      <c r="AB67" s="39">
        <v>5.1647859739235145</v>
      </c>
      <c r="AD67">
        <f t="shared" si="1"/>
        <v>190.92753858642905</v>
      </c>
      <c r="AE67" s="15">
        <v>216</v>
      </c>
      <c r="AF67">
        <f t="shared" si="2"/>
        <v>25.072461413570949</v>
      </c>
      <c r="AG67">
        <f t="shared" si="3"/>
        <v>628.6283213350041</v>
      </c>
    </row>
    <row r="68" spans="1:33" x14ac:dyDescent="0.25">
      <c r="A68" s="15">
        <v>67</v>
      </c>
      <c r="B68">
        <f t="shared" si="4"/>
        <v>5.1984970312658261</v>
      </c>
      <c r="C68" s="15">
        <v>181</v>
      </c>
      <c r="K68" s="39"/>
      <c r="L68" s="39"/>
      <c r="M68" s="39"/>
      <c r="N68" s="39"/>
      <c r="P68" s="39"/>
      <c r="Q68" s="39"/>
      <c r="V68" s="39">
        <v>44</v>
      </c>
      <c r="W68" s="39">
        <v>5.2561963703940471</v>
      </c>
      <c r="X68" s="39">
        <v>-0.38866191993846488</v>
      </c>
      <c r="Y68" s="39">
        <v>-0.96813352214141923</v>
      </c>
      <c r="AA68" s="39">
        <v>32.954545454545453</v>
      </c>
      <c r="AB68" s="39">
        <v>5.1647859739235145</v>
      </c>
      <c r="AD68">
        <f t="shared" si="1"/>
        <v>191.75075360710707</v>
      </c>
      <c r="AE68" s="15">
        <v>130</v>
      </c>
      <c r="AF68">
        <f t="shared" si="2"/>
        <v>-61.750753607107072</v>
      </c>
      <c r="AG68">
        <f t="shared" si="3"/>
        <v>3813.1555710456469</v>
      </c>
    </row>
    <row r="69" spans="1:33" x14ac:dyDescent="0.25">
      <c r="A69" s="15">
        <v>68</v>
      </c>
      <c r="B69">
        <f t="shared" si="4"/>
        <v>5.1532915944977793</v>
      </c>
      <c r="C69" s="15">
        <v>173</v>
      </c>
      <c r="K69" s="39"/>
      <c r="L69" s="39"/>
      <c r="M69" s="39"/>
      <c r="N69" s="39"/>
      <c r="P69" s="39"/>
      <c r="Q69" s="39"/>
      <c r="V69" s="39">
        <v>45</v>
      </c>
      <c r="W69" s="39">
        <v>5.260498763852576</v>
      </c>
      <c r="X69" s="39">
        <v>6.7377404937005281E-2</v>
      </c>
      <c r="Y69" s="39">
        <v>0.16783307293068278</v>
      </c>
      <c r="AA69" s="39">
        <v>33.712121212121211</v>
      </c>
      <c r="AB69" s="39">
        <v>5.1647859739235145</v>
      </c>
      <c r="AD69">
        <f t="shared" si="1"/>
        <v>192.57751805274123</v>
      </c>
      <c r="AE69" s="15">
        <v>206</v>
      </c>
      <c r="AF69">
        <f t="shared" si="2"/>
        <v>13.422481947258774</v>
      </c>
      <c r="AG69">
        <f t="shared" si="3"/>
        <v>180.1630216244877</v>
      </c>
    </row>
    <row r="70" spans="1:33" x14ac:dyDescent="0.25">
      <c r="A70" s="15">
        <v>69</v>
      </c>
      <c r="B70">
        <f t="shared" si="4"/>
        <v>5.5134287461649825</v>
      </c>
      <c r="C70" s="15">
        <v>248</v>
      </c>
      <c r="K70" s="39"/>
      <c r="L70" s="39"/>
      <c r="M70" s="39"/>
      <c r="N70" s="39"/>
      <c r="P70" s="39"/>
      <c r="Q70" s="39"/>
      <c r="V70" s="39">
        <v>46</v>
      </c>
      <c r="W70" s="39">
        <v>5.2648011573111049</v>
      </c>
      <c r="X70" s="39">
        <v>-0.27436857053236885</v>
      </c>
      <c r="Y70" s="39">
        <v>-0.68343564658061673</v>
      </c>
      <c r="AA70" s="39">
        <v>34.469696969696969</v>
      </c>
      <c r="AB70" s="39">
        <v>5.1761497325738288</v>
      </c>
      <c r="AD70">
        <f t="shared" si="1"/>
        <v>193.40784722725235</v>
      </c>
      <c r="AE70" s="15">
        <v>147</v>
      </c>
      <c r="AF70">
        <f t="shared" si="2"/>
        <v>-46.407847227252347</v>
      </c>
      <c r="AG70">
        <f t="shared" si="3"/>
        <v>2153.6882842679934</v>
      </c>
    </row>
    <row r="71" spans="1:33" x14ac:dyDescent="0.25">
      <c r="A71" s="15">
        <v>70</v>
      </c>
      <c r="B71">
        <f t="shared" si="4"/>
        <v>5.5683445037610966</v>
      </c>
      <c r="C71" s="15">
        <v>262</v>
      </c>
      <c r="K71" s="39"/>
      <c r="L71" s="39"/>
      <c r="M71" s="39"/>
      <c r="N71" s="39"/>
      <c r="P71" s="39"/>
      <c r="Q71" s="39"/>
      <c r="V71" s="39">
        <v>47</v>
      </c>
      <c r="W71" s="39">
        <v>5.2691035507696338</v>
      </c>
      <c r="X71" s="39">
        <v>1.4100177968354721E-2</v>
      </c>
      <c r="Y71" s="39">
        <v>3.5122697282731936E-2</v>
      </c>
      <c r="AA71" s="39">
        <v>35.227272727272727</v>
      </c>
      <c r="AB71" s="39">
        <v>5.181783550292085</v>
      </c>
      <c r="AD71">
        <f t="shared" si="1"/>
        <v>194.24175650054661</v>
      </c>
      <c r="AE71" s="15">
        <v>197</v>
      </c>
      <c r="AF71">
        <f t="shared" si="2"/>
        <v>2.7582434994533855</v>
      </c>
      <c r="AG71">
        <f t="shared" si="3"/>
        <v>7.6079072022768583</v>
      </c>
    </row>
    <row r="72" spans="1:33" x14ac:dyDescent="0.25">
      <c r="A72" s="15">
        <v>71</v>
      </c>
      <c r="B72">
        <f t="shared" si="4"/>
        <v>5.3423342519648109</v>
      </c>
      <c r="C72" s="15">
        <v>209</v>
      </c>
      <c r="K72" s="39"/>
      <c r="L72" s="39"/>
      <c r="M72" s="39"/>
      <c r="N72" s="39"/>
      <c r="P72" s="39"/>
      <c r="Q72" s="39"/>
      <c r="V72" s="39">
        <v>48</v>
      </c>
      <c r="W72" s="39">
        <v>5.2734059442281627</v>
      </c>
      <c r="X72" s="39">
        <v>3.9800034813624485E-2</v>
      </c>
      <c r="Y72" s="39">
        <v>9.9139498645933563E-2</v>
      </c>
      <c r="AA72" s="39">
        <v>35.984848484848484</v>
      </c>
      <c r="AB72" s="39">
        <v>5.181783550292085</v>
      </c>
      <c r="AD72">
        <f t="shared" si="1"/>
        <v>195.07926130880008</v>
      </c>
      <c r="AE72" s="15">
        <v>203</v>
      </c>
      <c r="AF72">
        <f t="shared" si="2"/>
        <v>7.9207386911999151</v>
      </c>
      <c r="AG72">
        <f t="shared" si="3"/>
        <v>62.738101414271341</v>
      </c>
    </row>
    <row r="73" spans="1:33" x14ac:dyDescent="0.25">
      <c r="A73" s="15">
        <v>72</v>
      </c>
      <c r="B73">
        <f t="shared" si="4"/>
        <v>5.3033049080590757</v>
      </c>
      <c r="C73" s="15">
        <v>201</v>
      </c>
      <c r="K73" s="39"/>
      <c r="L73" s="39"/>
      <c r="M73" s="39"/>
      <c r="N73" s="39"/>
      <c r="P73" s="39"/>
      <c r="Q73" s="39"/>
      <c r="V73" s="39">
        <v>49</v>
      </c>
      <c r="W73" s="39">
        <v>5.2777083376866916</v>
      </c>
      <c r="X73" s="39">
        <v>-0.20253452245286496</v>
      </c>
      <c r="Y73" s="39">
        <v>-0.50450134298870097</v>
      </c>
      <c r="AA73" s="39">
        <v>36.742424242424235</v>
      </c>
      <c r="AB73" s="39">
        <v>5.1873858058407549</v>
      </c>
      <c r="AD73">
        <f t="shared" si="1"/>
        <v>195.92037715474433</v>
      </c>
      <c r="AE73" s="15">
        <v>160</v>
      </c>
      <c r="AF73">
        <f t="shared" si="2"/>
        <v>-35.92037715474433</v>
      </c>
      <c r="AG73">
        <f t="shared" si="3"/>
        <v>1290.2734949390783</v>
      </c>
    </row>
    <row r="74" spans="1:33" x14ac:dyDescent="0.25">
      <c r="A74" s="15">
        <v>73</v>
      </c>
      <c r="B74">
        <f t="shared" si="4"/>
        <v>5.7462031905401529</v>
      </c>
      <c r="C74" s="15">
        <v>313</v>
      </c>
      <c r="K74" s="39"/>
      <c r="L74" s="39"/>
      <c r="M74" s="39"/>
      <c r="N74" s="39"/>
      <c r="P74" s="39"/>
      <c r="Q74" s="39"/>
      <c r="V74" s="39">
        <v>50</v>
      </c>
      <c r="W74" s="39">
        <v>5.2820107311452196</v>
      </c>
      <c r="X74" s="39">
        <v>-8.3513699879393499E-2</v>
      </c>
      <c r="Y74" s="39">
        <v>-0.20802761542499365</v>
      </c>
      <c r="AA74" s="39">
        <v>37.499999999999993</v>
      </c>
      <c r="AB74" s="39">
        <v>5.1984970312658261</v>
      </c>
      <c r="AD74">
        <f t="shared" si="1"/>
        <v>196.76511960795332</v>
      </c>
      <c r="AE74" s="15">
        <v>181</v>
      </c>
      <c r="AF74">
        <f t="shared" si="2"/>
        <v>-15.765119607953324</v>
      </c>
      <c r="AG74">
        <f t="shared" si="3"/>
        <v>248.53899625307434</v>
      </c>
    </row>
    <row r="75" spans="1:33" x14ac:dyDescent="0.25">
      <c r="A75" s="15">
        <v>74</v>
      </c>
      <c r="B75">
        <f t="shared" si="4"/>
        <v>4.9698132995760007</v>
      </c>
      <c r="C75" s="15">
        <v>144</v>
      </c>
      <c r="K75" s="39"/>
      <c r="L75" s="39"/>
      <c r="M75" s="39"/>
      <c r="N75" s="39"/>
      <c r="P75" s="39"/>
      <c r="Q75" s="39"/>
      <c r="V75" s="39">
        <v>51</v>
      </c>
      <c r="W75" s="39">
        <v>5.2863131246037485</v>
      </c>
      <c r="X75" s="39">
        <v>0.12978727760067166</v>
      </c>
      <c r="Y75" s="39">
        <v>0.32329232102949063</v>
      </c>
      <c r="AA75" s="39">
        <v>38.257575757575751</v>
      </c>
      <c r="AB75" s="39">
        <v>5.1984970312658261</v>
      </c>
      <c r="AD75">
        <f t="shared" si="1"/>
        <v>197.6135043051323</v>
      </c>
      <c r="AE75" s="15">
        <v>225</v>
      </c>
      <c r="AF75">
        <f t="shared" si="2"/>
        <v>27.386495694867705</v>
      </c>
      <c r="AG75">
        <f t="shared" si="3"/>
        <v>750.0201464450073</v>
      </c>
    </row>
    <row r="76" spans="1:33" x14ac:dyDescent="0.25">
      <c r="A76" s="15">
        <v>75</v>
      </c>
      <c r="B76">
        <f t="shared" si="4"/>
        <v>5.3278761687895813</v>
      </c>
      <c r="C76" s="15">
        <v>206</v>
      </c>
      <c r="K76" s="39"/>
      <c r="L76" s="39"/>
      <c r="M76" s="39"/>
      <c r="N76" s="39"/>
      <c r="P76" s="39"/>
      <c r="Q76" s="39"/>
      <c r="V76" s="39">
        <v>52</v>
      </c>
      <c r="W76" s="39">
        <v>5.2906155180622774</v>
      </c>
      <c r="X76" s="39">
        <v>0.74247070373652413</v>
      </c>
      <c r="Y76" s="39">
        <v>1.8494499734089345</v>
      </c>
      <c r="AA76" s="39">
        <v>39.015151515151508</v>
      </c>
      <c r="AB76" s="39">
        <v>5.2311086168545868</v>
      </c>
      <c r="AD76">
        <f t="shared" si="1"/>
        <v>198.46554695040615</v>
      </c>
      <c r="AE76" s="15">
        <v>417</v>
      </c>
      <c r="AF76">
        <f t="shared" si="2"/>
        <v>218.53445304959385</v>
      </c>
      <c r="AG76">
        <f t="shared" si="3"/>
        <v>47757.30716968514</v>
      </c>
    </row>
    <row r="77" spans="1:33" x14ac:dyDescent="0.25">
      <c r="A77" s="15">
        <v>76</v>
      </c>
      <c r="B77">
        <f t="shared" si="4"/>
        <v>5.7037824746562009</v>
      </c>
      <c r="C77" s="15">
        <v>300</v>
      </c>
      <c r="K77" s="39"/>
      <c r="L77" s="39"/>
      <c r="M77" s="39"/>
      <c r="N77" s="39"/>
      <c r="P77" s="39"/>
      <c r="Q77" s="39"/>
      <c r="V77" s="39">
        <v>53</v>
      </c>
      <c r="W77" s="39">
        <v>5.2949179115208063</v>
      </c>
      <c r="X77" s="39">
        <v>0.79639197055689159</v>
      </c>
      <c r="Y77" s="39">
        <v>1.9837646136839444</v>
      </c>
      <c r="AA77" s="39">
        <v>39.772727272727266</v>
      </c>
      <c r="AB77" s="39">
        <v>5.2364419628299492</v>
      </c>
      <c r="AD77">
        <f t="shared" si="1"/>
        <v>199.32126331561082</v>
      </c>
      <c r="AE77" s="15">
        <v>442</v>
      </c>
      <c r="AF77">
        <f t="shared" si="2"/>
        <v>242.67873668438918</v>
      </c>
      <c r="AG77">
        <f t="shared" si="3"/>
        <v>58892.969238731101</v>
      </c>
    </row>
    <row r="78" spans="1:33" x14ac:dyDescent="0.25">
      <c r="A78" s="15">
        <v>77</v>
      </c>
      <c r="B78">
        <f t="shared" si="4"/>
        <v>5.6204008657171496</v>
      </c>
      <c r="C78" s="15">
        <v>276</v>
      </c>
      <c r="K78" s="39"/>
      <c r="L78" s="39"/>
      <c r="M78" s="39"/>
      <c r="N78" s="39"/>
      <c r="P78" s="39"/>
      <c r="Q78" s="39"/>
      <c r="V78" s="39">
        <v>54</v>
      </c>
      <c r="W78" s="39">
        <v>5.2992203049793352</v>
      </c>
      <c r="X78" s="39">
        <v>0.20203790556539225</v>
      </c>
      <c r="Y78" s="39">
        <v>0.50326430011992707</v>
      </c>
      <c r="AA78" s="39">
        <v>40.530303030303024</v>
      </c>
      <c r="AB78" s="39">
        <v>5.2470240721604862</v>
      </c>
      <c r="AD78">
        <f t="shared" si="1"/>
        <v>200.1806692405851</v>
      </c>
      <c r="AE78" s="15">
        <v>245</v>
      </c>
      <c r="AF78">
        <f t="shared" si="2"/>
        <v>44.819330759414896</v>
      </c>
      <c r="AG78">
        <f t="shared" si="3"/>
        <v>2008.7724097218343</v>
      </c>
    </row>
    <row r="79" spans="1:33" x14ac:dyDescent="0.25">
      <c r="A79" s="15">
        <v>78</v>
      </c>
      <c r="B79">
        <f t="shared" si="4"/>
        <v>5.6903594543240601</v>
      </c>
      <c r="C79" s="15">
        <v>296</v>
      </c>
      <c r="K79" s="39"/>
      <c r="L79" s="39"/>
      <c r="M79" s="39"/>
      <c r="N79" s="39"/>
      <c r="P79" s="39"/>
      <c r="Q79" s="39"/>
      <c r="V79" s="39">
        <v>55</v>
      </c>
      <c r="W79" s="39">
        <v>5.3035226984378641</v>
      </c>
      <c r="X79" s="39">
        <v>0.26863133373990067</v>
      </c>
      <c r="Y79" s="39">
        <v>0.66914453397526819</v>
      </c>
      <c r="AA79" s="39">
        <v>41.287878787878782</v>
      </c>
      <c r="AB79" s="39">
        <v>5.2729995585637468</v>
      </c>
      <c r="AD79">
        <f t="shared" si="1"/>
        <v>201.04378063346377</v>
      </c>
      <c r="AE79" s="15">
        <v>263</v>
      </c>
      <c r="AF79">
        <f t="shared" si="2"/>
        <v>61.956219366536232</v>
      </c>
      <c r="AG79">
        <f t="shared" si="3"/>
        <v>3838.5731181943593</v>
      </c>
    </row>
    <row r="80" spans="1:33" x14ac:dyDescent="0.25">
      <c r="A80" s="15">
        <v>79</v>
      </c>
      <c r="B80">
        <f t="shared" si="4"/>
        <v>5.6383546693337454</v>
      </c>
      <c r="C80" s="15">
        <v>281</v>
      </c>
      <c r="K80" s="39"/>
      <c r="L80" s="39"/>
      <c r="M80" s="39"/>
      <c r="N80" s="39"/>
      <c r="P80" s="39"/>
      <c r="Q80" s="39"/>
      <c r="V80" s="39">
        <v>56</v>
      </c>
      <c r="W80" s="39">
        <v>5.307825091896393</v>
      </c>
      <c r="X80" s="39">
        <v>-0.53714046743072785</v>
      </c>
      <c r="Y80" s="39">
        <v>-1.3379846749605206</v>
      </c>
      <c r="AA80" s="39">
        <v>42.04545454545454</v>
      </c>
      <c r="AB80" s="39">
        <v>5.2832037287379885</v>
      </c>
      <c r="AD80">
        <f t="shared" si="1"/>
        <v>201.91061347097215</v>
      </c>
      <c r="AE80" s="15">
        <v>118</v>
      </c>
      <c r="AF80">
        <f t="shared" si="2"/>
        <v>-83.910613470972152</v>
      </c>
      <c r="AG80">
        <f t="shared" si="3"/>
        <v>7040.991053074893</v>
      </c>
    </row>
    <row r="81" spans="1:33" x14ac:dyDescent="0.25">
      <c r="A81" s="15">
        <v>80</v>
      </c>
      <c r="B81">
        <f t="shared" si="4"/>
        <v>5.8141305318250662</v>
      </c>
      <c r="C81" s="15">
        <v>335</v>
      </c>
      <c r="K81" s="39"/>
      <c r="L81" s="39"/>
      <c r="M81" s="39"/>
      <c r="N81" s="39"/>
      <c r="P81" s="39"/>
      <c r="Q81" s="39"/>
      <c r="V81" s="39">
        <v>57</v>
      </c>
      <c r="W81" s="39">
        <v>5.3121274853549219</v>
      </c>
      <c r="X81" s="39">
        <v>-0.34231418577892114</v>
      </c>
      <c r="Y81" s="39">
        <v>-0.85268409729872441</v>
      </c>
      <c r="AA81" s="39">
        <v>42.803030303030297</v>
      </c>
      <c r="AB81" s="39">
        <v>5.2832037287379885</v>
      </c>
      <c r="AD81">
        <f t="shared" si="1"/>
        <v>202.7811837987218</v>
      </c>
      <c r="AE81" s="15">
        <v>144</v>
      </c>
      <c r="AF81">
        <f t="shared" si="2"/>
        <v>-58.781183798721798</v>
      </c>
      <c r="AG81">
        <f t="shared" si="3"/>
        <v>3455.2275687791139</v>
      </c>
    </row>
    <row r="82" spans="1:33" x14ac:dyDescent="0.25">
      <c r="A82" s="15">
        <v>81</v>
      </c>
      <c r="B82">
        <f t="shared" si="4"/>
        <v>3.784189633918261</v>
      </c>
      <c r="C82" s="15">
        <v>44</v>
      </c>
      <c r="K82" s="39"/>
      <c r="L82" s="39"/>
      <c r="M82" s="39"/>
      <c r="N82" s="39"/>
      <c r="P82" s="39"/>
      <c r="Q82" s="39"/>
      <c r="V82" s="39">
        <v>58</v>
      </c>
      <c r="W82" s="39">
        <v>5.3164298788134507</v>
      </c>
      <c r="X82" s="39">
        <v>-0.34661657923745004</v>
      </c>
      <c r="Y82" s="39">
        <v>-0.86340110125245173</v>
      </c>
      <c r="AA82" s="39">
        <v>43.560606060606055</v>
      </c>
      <c r="AB82" s="39">
        <v>5.2933048247244923</v>
      </c>
      <c r="AD82">
        <f t="shared" si="1"/>
        <v>203.65550773150747</v>
      </c>
      <c r="AE82" s="15">
        <v>144</v>
      </c>
      <c r="AF82">
        <f t="shared" si="2"/>
        <v>-59.65550773150747</v>
      </c>
      <c r="AG82">
        <f t="shared" si="3"/>
        <v>3558.7796027039476</v>
      </c>
    </row>
    <row r="83" spans="1:33" x14ac:dyDescent="0.25">
      <c r="A83" s="15">
        <v>82</v>
      </c>
      <c r="B83">
        <f t="shared" si="4"/>
        <v>5.2729995585637468</v>
      </c>
      <c r="C83" s="15">
        <v>195</v>
      </c>
      <c r="K83" s="39"/>
      <c r="L83" s="39"/>
      <c r="M83" s="39"/>
      <c r="N83" s="39"/>
      <c r="P83" s="39"/>
      <c r="Q83" s="39"/>
      <c r="V83" s="39">
        <v>59</v>
      </c>
      <c r="W83" s="39">
        <v>5.3207322722719796</v>
      </c>
      <c r="X83" s="39">
        <v>-8.429030944203042E-2</v>
      </c>
      <c r="Y83" s="39">
        <v>-0.20996210324752956</v>
      </c>
      <c r="AA83" s="39">
        <v>44.318181818181813</v>
      </c>
      <c r="AB83" s="39">
        <v>5.3033049080590757</v>
      </c>
      <c r="AD83">
        <f t="shared" si="1"/>
        <v>204.53360145360557</v>
      </c>
      <c r="AE83" s="15">
        <v>188</v>
      </c>
      <c r="AF83">
        <f t="shared" si="2"/>
        <v>-16.53360145360557</v>
      </c>
      <c r="AG83">
        <f t="shared" si="3"/>
        <v>273.35997702666822</v>
      </c>
    </row>
    <row r="84" spans="1:33" x14ac:dyDescent="0.25">
      <c r="A84" s="15">
        <v>83</v>
      </c>
      <c r="B84">
        <f t="shared" si="4"/>
        <v>4.9487598903781684</v>
      </c>
      <c r="C84" s="15">
        <v>141</v>
      </c>
      <c r="K84" s="39"/>
      <c r="L84" s="39"/>
      <c r="M84" s="39"/>
      <c r="N84" s="39"/>
      <c r="P84" s="39"/>
      <c r="Q84" s="39"/>
      <c r="V84" s="39">
        <v>60</v>
      </c>
      <c r="W84" s="39">
        <v>5.3250346657305085</v>
      </c>
      <c r="X84" s="39">
        <v>-0.81417515921365879</v>
      </c>
      <c r="Y84" s="39">
        <v>-2.0280614696041415</v>
      </c>
      <c r="AA84" s="39">
        <v>45.075757575757571</v>
      </c>
      <c r="AB84" s="39">
        <v>5.3132059790417872</v>
      </c>
      <c r="AD84">
        <f t="shared" si="1"/>
        <v>205.41548121907357</v>
      </c>
      <c r="AE84" s="15">
        <v>91</v>
      </c>
      <c r="AF84">
        <f t="shared" si="2"/>
        <v>-114.41548121907357</v>
      </c>
      <c r="AG84">
        <f t="shared" si="3"/>
        <v>13090.902342592177</v>
      </c>
    </row>
    <row r="85" spans="1:33" x14ac:dyDescent="0.25">
      <c r="A85" s="15">
        <v>84</v>
      </c>
      <c r="B85">
        <f t="shared" si="4"/>
        <v>4.8751973232011512</v>
      </c>
      <c r="C85" s="15">
        <v>131</v>
      </c>
      <c r="K85" s="39"/>
      <c r="L85" s="39"/>
      <c r="M85" s="39"/>
      <c r="N85" s="39"/>
      <c r="P85" s="39"/>
      <c r="Q85" s="39"/>
      <c r="V85" s="39">
        <v>61</v>
      </c>
      <c r="W85" s="39">
        <v>5.3293370591890374</v>
      </c>
      <c r="X85" s="39">
        <v>0.40723523829015473</v>
      </c>
      <c r="Y85" s="39">
        <v>1.0143985437224434</v>
      </c>
      <c r="AA85" s="39">
        <v>45.833333333333329</v>
      </c>
      <c r="AB85" s="39">
        <v>5.3278761687895813</v>
      </c>
      <c r="AD85">
        <f t="shared" si="1"/>
        <v>206.30116335205093</v>
      </c>
      <c r="AE85" s="15">
        <v>310</v>
      </c>
      <c r="AF85">
        <f t="shared" si="2"/>
        <v>103.69883664794907</v>
      </c>
      <c r="AG85">
        <f t="shared" si="3"/>
        <v>10753.448722138024</v>
      </c>
    </row>
    <row r="86" spans="1:33" x14ac:dyDescent="0.25">
      <c r="A86" s="15">
        <v>85</v>
      </c>
      <c r="B86">
        <f t="shared" si="4"/>
        <v>5.9135030056382698</v>
      </c>
      <c r="C86" s="15">
        <v>370</v>
      </c>
      <c r="K86" s="39"/>
      <c r="L86" s="39"/>
      <c r="M86" s="39"/>
      <c r="N86" s="39"/>
      <c r="P86" s="39"/>
      <c r="Q86" s="39"/>
      <c r="V86" s="39">
        <v>62</v>
      </c>
      <c r="W86" s="39">
        <v>5.3336394526475663</v>
      </c>
      <c r="X86" s="39">
        <v>8.6895546624719877E-2</v>
      </c>
      <c r="Y86" s="39">
        <v>0.21645159275061818</v>
      </c>
      <c r="AA86" s="39">
        <v>46.590909090909086</v>
      </c>
      <c r="AB86" s="39">
        <v>5.3278761687895813</v>
      </c>
      <c r="AD86">
        <f t="shared" si="1"/>
        <v>207.19066424706131</v>
      </c>
      <c r="AE86" s="15">
        <v>226</v>
      </c>
      <c r="AF86">
        <f t="shared" si="2"/>
        <v>18.809335752938694</v>
      </c>
      <c r="AG86">
        <f t="shared" si="3"/>
        <v>353.79111146677781</v>
      </c>
    </row>
    <row r="87" spans="1:33" x14ac:dyDescent="0.25">
      <c r="A87" s="15">
        <v>86</v>
      </c>
      <c r="B87">
        <f t="shared" si="4"/>
        <v>5.4806389233419912</v>
      </c>
      <c r="C87" s="15">
        <v>240</v>
      </c>
      <c r="K87" s="39"/>
      <c r="L87" s="39"/>
      <c r="M87" s="39"/>
      <c r="N87" s="39"/>
      <c r="P87" s="39"/>
      <c r="Q87" s="39"/>
      <c r="V87" s="39">
        <v>63</v>
      </c>
      <c r="W87" s="39">
        <v>5.3379418461060943</v>
      </c>
      <c r="X87" s="39">
        <v>0.19939242091244225</v>
      </c>
      <c r="Y87" s="39">
        <v>0.49667455658334114</v>
      </c>
      <c r="AA87" s="39">
        <v>47.348484848484844</v>
      </c>
      <c r="AB87" s="39">
        <v>5.3327187932653688</v>
      </c>
      <c r="AD87">
        <f t="shared" si="1"/>
        <v>208.08400036931585</v>
      </c>
      <c r="AE87" s="15">
        <v>254</v>
      </c>
      <c r="AF87">
        <f t="shared" si="2"/>
        <v>45.915999630684155</v>
      </c>
      <c r="AG87">
        <f t="shared" si="3"/>
        <v>2108.2790220849874</v>
      </c>
    </row>
    <row r="88" spans="1:33" x14ac:dyDescent="0.25">
      <c r="A88" s="15">
        <v>87</v>
      </c>
      <c r="B88">
        <f t="shared" si="4"/>
        <v>5.389071729816501</v>
      </c>
      <c r="C88" s="15">
        <v>219</v>
      </c>
      <c r="K88" s="39"/>
      <c r="L88" s="39"/>
      <c r="M88" s="39"/>
      <c r="N88" s="39"/>
      <c r="P88" s="39"/>
      <c r="Q88" s="39"/>
      <c r="V88" s="39">
        <v>64</v>
      </c>
      <c r="W88" s="39">
        <v>5.3422442395646232</v>
      </c>
      <c r="X88" s="39">
        <v>0.61099909472316138</v>
      </c>
      <c r="Y88" s="39">
        <v>1.5219620838933925</v>
      </c>
      <c r="AA88" s="39">
        <v>48.106060606060602</v>
      </c>
      <c r="AB88" s="39">
        <v>5.3423342519648109</v>
      </c>
      <c r="AD88">
        <f t="shared" si="1"/>
        <v>208.98118825501862</v>
      </c>
      <c r="AE88" s="15">
        <v>385</v>
      </c>
      <c r="AF88">
        <f t="shared" si="2"/>
        <v>176.01881174498138</v>
      </c>
      <c r="AG88">
        <f t="shared" si="3"/>
        <v>30982.622088115193</v>
      </c>
    </row>
    <row r="89" spans="1:33" x14ac:dyDescent="0.25">
      <c r="A89" s="15">
        <v>88</v>
      </c>
      <c r="B89">
        <f t="shared" si="4"/>
        <v>6.0520891689244172</v>
      </c>
      <c r="C89" s="15">
        <v>425</v>
      </c>
      <c r="K89" s="39"/>
      <c r="L89" s="39"/>
      <c r="M89" s="39"/>
      <c r="N89" s="39"/>
      <c r="P89" s="39"/>
      <c r="Q89" s="39"/>
      <c r="V89" s="39">
        <v>65</v>
      </c>
      <c r="W89" s="39">
        <v>5.3465466330231521</v>
      </c>
      <c r="X89" s="39">
        <v>0.41550474975702478</v>
      </c>
      <c r="Y89" s="39">
        <v>1.03499740060062</v>
      </c>
      <c r="AA89" s="39">
        <v>48.86363636363636</v>
      </c>
      <c r="AB89" s="39">
        <v>5.3659760150218512</v>
      </c>
      <c r="AD89">
        <f t="shared" si="1"/>
        <v>209.8822445116717</v>
      </c>
      <c r="AE89" s="15">
        <v>318</v>
      </c>
      <c r="AF89">
        <f t="shared" si="2"/>
        <v>108.1177554883283</v>
      </c>
      <c r="AG89">
        <f t="shared" si="3"/>
        <v>11689.449051833944</v>
      </c>
    </row>
    <row r="90" spans="1:33" x14ac:dyDescent="0.25">
      <c r="A90" s="15">
        <v>89</v>
      </c>
      <c r="B90">
        <f t="shared" si="4"/>
        <v>6.1114673395026786</v>
      </c>
      <c r="C90" s="15">
        <v>451</v>
      </c>
      <c r="K90" s="39"/>
      <c r="L90" s="39"/>
      <c r="M90" s="39"/>
      <c r="N90" s="39"/>
      <c r="P90" s="39"/>
      <c r="Q90" s="39"/>
      <c r="V90" s="39">
        <v>66</v>
      </c>
      <c r="W90" s="39">
        <v>5.350849026481681</v>
      </c>
      <c r="X90" s="39">
        <v>0.41120235629849589</v>
      </c>
      <c r="Y90" s="39">
        <v>1.0242803966468925</v>
      </c>
      <c r="AA90" s="39">
        <v>49.621212121212118</v>
      </c>
      <c r="AB90" s="39">
        <v>5.3752784076841653</v>
      </c>
      <c r="AD90">
        <f t="shared" ref="AD90:AD153" si="5">EXP(W90)</f>
        <v>210.78718581838325</v>
      </c>
      <c r="AE90" s="15">
        <v>318</v>
      </c>
      <c r="AF90">
        <f t="shared" ref="AF90:AF153" si="6">AE90-AD90</f>
        <v>107.21281418161675</v>
      </c>
      <c r="AG90">
        <f t="shared" ref="AG90:AG153" si="7">AF90^2</f>
        <v>11494.587524741883</v>
      </c>
    </row>
    <row r="91" spans="1:33" x14ac:dyDescent="0.25">
      <c r="A91" s="15">
        <v>90</v>
      </c>
      <c r="B91">
        <f t="shared" si="4"/>
        <v>5.955837369464831</v>
      </c>
      <c r="C91" s="15">
        <v>386</v>
      </c>
      <c r="K91" s="39"/>
      <c r="L91" s="39"/>
      <c r="M91" s="39"/>
      <c r="N91" s="39"/>
      <c r="P91" s="39"/>
      <c r="Q91" s="39"/>
      <c r="V91" s="39">
        <v>67</v>
      </c>
      <c r="W91" s="39">
        <v>5.3551514199402099</v>
      </c>
      <c r="X91" s="39">
        <v>-0.15665438867438386</v>
      </c>
      <c r="Y91" s="39">
        <v>-0.39021668263835607</v>
      </c>
      <c r="AA91" s="39">
        <v>50.378787878787875</v>
      </c>
      <c r="AB91" s="39">
        <v>5.3752784076841653</v>
      </c>
      <c r="AD91">
        <f t="shared" si="5"/>
        <v>211.69602892617618</v>
      </c>
      <c r="AE91" s="15">
        <v>181</v>
      </c>
      <c r="AF91">
        <f t="shared" si="6"/>
        <v>-30.696028926176183</v>
      </c>
      <c r="AG91">
        <f t="shared" si="7"/>
        <v>942.24619183664493</v>
      </c>
    </row>
    <row r="92" spans="1:33" x14ac:dyDescent="0.25">
      <c r="A92" s="15">
        <v>91</v>
      </c>
      <c r="B92">
        <f t="shared" si="4"/>
        <v>6.300785794663244</v>
      </c>
      <c r="C92" s="15">
        <v>545</v>
      </c>
      <c r="K92" s="39"/>
      <c r="L92" s="39"/>
      <c r="M92" s="39"/>
      <c r="N92" s="39"/>
      <c r="P92" s="39"/>
      <c r="Q92" s="39"/>
      <c r="V92" s="39">
        <v>68</v>
      </c>
      <c r="W92" s="39">
        <v>5.3594538133987388</v>
      </c>
      <c r="X92" s="39">
        <v>-0.20616221890095954</v>
      </c>
      <c r="Y92" s="39">
        <v>-0.51353771717248975</v>
      </c>
      <c r="AA92" s="39">
        <v>51.136363636363633</v>
      </c>
      <c r="AB92" s="39">
        <v>5.3798973535404597</v>
      </c>
      <c r="AD92">
        <f t="shared" si="5"/>
        <v>212.60879065829806</v>
      </c>
      <c r="AE92" s="15">
        <v>173</v>
      </c>
      <c r="AF92">
        <f t="shared" si="6"/>
        <v>-39.608790658298062</v>
      </c>
      <c r="AG92">
        <f t="shared" si="7"/>
        <v>1568.8562974128799</v>
      </c>
    </row>
    <row r="93" spans="1:33" x14ac:dyDescent="0.25">
      <c r="A93" s="15">
        <v>92</v>
      </c>
      <c r="B93">
        <f t="shared" si="4"/>
        <v>6.7190131543852596</v>
      </c>
      <c r="C93" s="15">
        <v>828</v>
      </c>
      <c r="K93" s="39"/>
      <c r="L93" s="39"/>
      <c r="M93" s="39"/>
      <c r="N93" s="39"/>
      <c r="P93" s="39"/>
      <c r="Q93" s="39"/>
      <c r="V93" s="39">
        <v>69</v>
      </c>
      <c r="W93" s="39">
        <v>5.3637562068572677</v>
      </c>
      <c r="X93" s="39">
        <v>0.14967253930771474</v>
      </c>
      <c r="Y93" s="39">
        <v>0.37282531478970138</v>
      </c>
      <c r="AA93" s="39">
        <v>51.893939393939391</v>
      </c>
      <c r="AB93" s="39">
        <v>5.389071729816501</v>
      </c>
      <c r="AD93">
        <f t="shared" si="5"/>
        <v>213.52548791053269</v>
      </c>
      <c r="AE93" s="15">
        <v>248</v>
      </c>
      <c r="AF93">
        <f t="shared" si="6"/>
        <v>34.474512089467311</v>
      </c>
      <c r="AG93">
        <f t="shared" si="7"/>
        <v>1188.4919838068279</v>
      </c>
    </row>
    <row r="94" spans="1:33" x14ac:dyDescent="0.25">
      <c r="A94" s="15">
        <v>93</v>
      </c>
      <c r="B94">
        <f t="shared" si="4"/>
        <v>4.1743872698956368</v>
      </c>
      <c r="C94" s="15">
        <v>65</v>
      </c>
      <c r="K94" s="39"/>
      <c r="L94" s="39"/>
      <c r="M94" s="39"/>
      <c r="N94" s="39"/>
      <c r="P94" s="39"/>
      <c r="Q94" s="39"/>
      <c r="V94" s="39">
        <v>70</v>
      </c>
      <c r="W94" s="39">
        <v>5.3680586003157966</v>
      </c>
      <c r="X94" s="39">
        <v>0.20028590344529995</v>
      </c>
      <c r="Y94" s="39">
        <v>0.49890016796210529</v>
      </c>
      <c r="AA94" s="39">
        <v>52.651515151515149</v>
      </c>
      <c r="AB94" s="39">
        <v>5.4071717714601188</v>
      </c>
      <c r="AD94">
        <f t="shared" si="5"/>
        <v>214.44613765151274</v>
      </c>
      <c r="AE94" s="15">
        <v>262</v>
      </c>
      <c r="AF94">
        <f t="shared" si="6"/>
        <v>47.553862348487257</v>
      </c>
      <c r="AG94">
        <f t="shared" si="7"/>
        <v>2261.3698242588739</v>
      </c>
    </row>
    <row r="95" spans="1:33" x14ac:dyDescent="0.25">
      <c r="A95" s="15">
        <v>94</v>
      </c>
      <c r="B95">
        <f t="shared" si="4"/>
        <v>4.7957905455967413</v>
      </c>
      <c r="C95" s="15">
        <v>121</v>
      </c>
      <c r="K95" s="39"/>
      <c r="L95" s="39"/>
      <c r="M95" s="39"/>
      <c r="N95" s="39"/>
      <c r="P95" s="39"/>
      <c r="Q95" s="39"/>
      <c r="V95" s="39">
        <v>71</v>
      </c>
      <c r="W95" s="39">
        <v>5.3723609937743255</v>
      </c>
      <c r="X95" s="39">
        <v>-3.002674180951459E-2</v>
      </c>
      <c r="Y95" s="39">
        <v>-7.4794812188132248E-2</v>
      </c>
      <c r="AA95" s="39">
        <v>53.409090909090907</v>
      </c>
      <c r="AB95" s="39">
        <v>5.4161004022044201</v>
      </c>
      <c r="AD95">
        <f t="shared" si="5"/>
        <v>215.37075692303389</v>
      </c>
      <c r="AE95" s="15">
        <v>209</v>
      </c>
      <c r="AF95">
        <f t="shared" si="6"/>
        <v>-6.3707569230338947</v>
      </c>
      <c r="AG95">
        <f t="shared" si="7"/>
        <v>40.586543772384296</v>
      </c>
    </row>
    <row r="96" spans="1:33" x14ac:dyDescent="0.25">
      <c r="A96" s="15">
        <v>95</v>
      </c>
      <c r="B96">
        <f t="shared" si="4"/>
        <v>5.5373342670185366</v>
      </c>
      <c r="C96" s="15">
        <v>254</v>
      </c>
      <c r="K96" s="39"/>
      <c r="L96" s="39"/>
      <c r="M96" s="39"/>
      <c r="N96" s="39"/>
      <c r="P96" s="39"/>
      <c r="Q96" s="39"/>
      <c r="V96" s="39">
        <v>72</v>
      </c>
      <c r="W96" s="39">
        <v>5.3766633872328544</v>
      </c>
      <c r="X96" s="39">
        <v>-7.335847917377869E-2</v>
      </c>
      <c r="Y96" s="39">
        <v>-0.18273156997910348</v>
      </c>
      <c r="AA96" s="39">
        <v>54.166666666666664</v>
      </c>
      <c r="AB96" s="39">
        <v>5.4161004022044201</v>
      </c>
      <c r="AD96">
        <f t="shared" si="5"/>
        <v>216.29936284037032</v>
      </c>
      <c r="AE96" s="15">
        <v>201</v>
      </c>
      <c r="AF96">
        <f t="shared" si="6"/>
        <v>-15.299362840370321</v>
      </c>
      <c r="AG96">
        <f t="shared" si="7"/>
        <v>234.07050332130422</v>
      </c>
    </row>
    <row r="97" spans="1:33" x14ac:dyDescent="0.25">
      <c r="A97" s="15">
        <v>96</v>
      </c>
      <c r="B97">
        <f t="shared" si="4"/>
        <v>4.7535901911063645</v>
      </c>
      <c r="C97" s="15">
        <v>116</v>
      </c>
      <c r="K97" s="39"/>
      <c r="L97" s="39"/>
      <c r="M97" s="39"/>
      <c r="N97" s="39"/>
      <c r="P97" s="39"/>
      <c r="Q97" s="39"/>
      <c r="V97" s="39">
        <v>73</v>
      </c>
      <c r="W97" s="39">
        <v>5.3809657806913833</v>
      </c>
      <c r="X97" s="39">
        <v>0.36523740984876962</v>
      </c>
      <c r="Y97" s="39">
        <v>0.9097844730213912</v>
      </c>
      <c r="AA97" s="39">
        <v>54.924242424242422</v>
      </c>
      <c r="AB97" s="39">
        <v>5.4205349992722862</v>
      </c>
      <c r="AD97">
        <f t="shared" si="5"/>
        <v>217.23197259259146</v>
      </c>
      <c r="AE97" s="15">
        <v>313</v>
      </c>
      <c r="AF97">
        <f t="shared" si="6"/>
        <v>95.768027407408539</v>
      </c>
      <c r="AG97">
        <f t="shared" si="7"/>
        <v>9171.5150735061525</v>
      </c>
    </row>
    <row r="98" spans="1:33" x14ac:dyDescent="0.25">
      <c r="A98" s="15">
        <v>97</v>
      </c>
      <c r="B98">
        <f t="shared" si="4"/>
        <v>5.8805329864007003</v>
      </c>
      <c r="C98" s="15">
        <v>358</v>
      </c>
      <c r="K98" s="39"/>
      <c r="L98" s="39"/>
      <c r="M98" s="39"/>
      <c r="N98" s="39"/>
      <c r="P98" s="39"/>
      <c r="Q98" s="39"/>
      <c r="V98" s="39">
        <v>74</v>
      </c>
      <c r="W98" s="39">
        <v>5.3852681741499122</v>
      </c>
      <c r="X98" s="39">
        <v>-0.4154548745739115</v>
      </c>
      <c r="Y98" s="39">
        <v>-1.0348731645120868</v>
      </c>
      <c r="AA98" s="39">
        <v>55.68181818181818</v>
      </c>
      <c r="AB98" s="39">
        <v>5.4249500174814029</v>
      </c>
      <c r="AD98">
        <f t="shared" si="5"/>
        <v>218.16860344288017</v>
      </c>
      <c r="AE98" s="15">
        <v>144</v>
      </c>
      <c r="AF98">
        <f t="shared" si="6"/>
        <v>-74.168603442880169</v>
      </c>
      <c r="AG98">
        <f t="shared" si="7"/>
        <v>5500.981736667216</v>
      </c>
    </row>
    <row r="99" spans="1:33" x14ac:dyDescent="0.25">
      <c r="A99" s="15">
        <v>98</v>
      </c>
      <c r="B99">
        <f t="shared" si="4"/>
        <v>5.2470240721604862</v>
      </c>
      <c r="C99" s="15">
        <v>190</v>
      </c>
      <c r="K99" s="39"/>
      <c r="L99" s="39"/>
      <c r="M99" s="39"/>
      <c r="N99" s="39"/>
      <c r="P99" s="39"/>
      <c r="Q99" s="39"/>
      <c r="V99" s="39">
        <v>75</v>
      </c>
      <c r="W99" s="39">
        <v>5.3895705676084411</v>
      </c>
      <c r="X99" s="39">
        <v>-6.1694398818859852E-2</v>
      </c>
      <c r="Y99" s="39">
        <v>-0.15367704568113269</v>
      </c>
      <c r="AA99" s="39">
        <v>56.439393939393938</v>
      </c>
      <c r="AB99" s="39">
        <v>5.4293456289544411</v>
      </c>
      <c r="AD99">
        <f t="shared" si="5"/>
        <v>219.10927272885237</v>
      </c>
      <c r="AE99" s="15">
        <v>206</v>
      </c>
      <c r="AF99">
        <f t="shared" si="6"/>
        <v>-13.109272728852375</v>
      </c>
      <c r="AG99">
        <f t="shared" si="7"/>
        <v>171.85303147943259</v>
      </c>
    </row>
    <row r="100" spans="1:33" x14ac:dyDescent="0.25">
      <c r="A100" s="15">
        <v>99</v>
      </c>
      <c r="B100">
        <f t="shared" si="4"/>
        <v>4.6821312271242199</v>
      </c>
      <c r="C100" s="15">
        <v>108</v>
      </c>
      <c r="K100" s="39"/>
      <c r="L100" s="39"/>
      <c r="M100" s="39"/>
      <c r="N100" s="39"/>
      <c r="P100" s="39"/>
      <c r="Q100" s="39"/>
      <c r="V100" s="39">
        <v>76</v>
      </c>
      <c r="W100" s="39">
        <v>5.39387296106697</v>
      </c>
      <c r="X100" s="39">
        <v>0.30990951358923091</v>
      </c>
      <c r="Y100" s="39">
        <v>0.77196600321374209</v>
      </c>
      <c r="AA100" s="39">
        <v>57.196969696969695</v>
      </c>
      <c r="AB100" s="39">
        <v>5.43372200355424</v>
      </c>
      <c r="AD100">
        <f t="shared" si="5"/>
        <v>220.05399786287791</v>
      </c>
      <c r="AE100" s="15">
        <v>300</v>
      </c>
      <c r="AF100">
        <f t="shared" si="6"/>
        <v>79.946002137122093</v>
      </c>
      <c r="AG100">
        <f t="shared" si="7"/>
        <v>6391.3632577087301</v>
      </c>
    </row>
    <row r="101" spans="1:33" x14ac:dyDescent="0.25">
      <c r="A101" s="15">
        <v>100</v>
      </c>
      <c r="B101">
        <f t="shared" si="4"/>
        <v>5.1647859739235145</v>
      </c>
      <c r="C101" s="15">
        <v>175</v>
      </c>
      <c r="K101" s="39"/>
      <c r="L101" s="39"/>
      <c r="M101" s="39"/>
      <c r="N101" s="39"/>
      <c r="P101" s="39"/>
      <c r="Q101" s="39"/>
      <c r="V101" s="39">
        <v>77</v>
      </c>
      <c r="W101" s="39">
        <v>5.3981753545254989</v>
      </c>
      <c r="X101" s="39">
        <v>0.22222551119165068</v>
      </c>
      <c r="Y101" s="39">
        <v>0.55355041444171571</v>
      </c>
      <c r="AA101" s="39">
        <v>57.954545454545453</v>
      </c>
      <c r="AB101" s="39">
        <v>5.4380793089231956</v>
      </c>
      <c r="AD101">
        <f t="shared" si="5"/>
        <v>221.00279633240285</v>
      </c>
      <c r="AE101" s="15">
        <v>276</v>
      </c>
      <c r="AF101">
        <f t="shared" si="6"/>
        <v>54.997203667597148</v>
      </c>
      <c r="AG101">
        <f t="shared" si="7"/>
        <v>3024.692411255161</v>
      </c>
    </row>
    <row r="102" spans="1:33" x14ac:dyDescent="0.25">
      <c r="A102" s="15">
        <v>101</v>
      </c>
      <c r="B102">
        <f t="shared" si="4"/>
        <v>5.3659760150218512</v>
      </c>
      <c r="C102" s="15">
        <v>214</v>
      </c>
      <c r="K102" s="39"/>
      <c r="L102" s="39"/>
      <c r="M102" s="39"/>
      <c r="N102" s="39"/>
      <c r="P102" s="39"/>
      <c r="Q102" s="39"/>
      <c r="V102" s="39">
        <v>78</v>
      </c>
      <c r="W102" s="39">
        <v>5.4024777479840269</v>
      </c>
      <c r="X102" s="39">
        <v>0.28788170634003318</v>
      </c>
      <c r="Y102" s="39">
        <v>0.71709605706467117</v>
      </c>
      <c r="AA102" s="39">
        <v>58.712121212121211</v>
      </c>
      <c r="AB102" s="39">
        <v>5.4424177105217932</v>
      </c>
      <c r="AD102">
        <f t="shared" si="5"/>
        <v>221.95568570027308</v>
      </c>
      <c r="AE102" s="15">
        <v>296</v>
      </c>
      <c r="AF102">
        <f t="shared" si="6"/>
        <v>74.044314299726921</v>
      </c>
      <c r="AG102">
        <f t="shared" si="7"/>
        <v>5482.5604801167447</v>
      </c>
    </row>
    <row r="103" spans="1:33" x14ac:dyDescent="0.25">
      <c r="A103" s="15">
        <v>102</v>
      </c>
      <c r="B103">
        <f t="shared" si="4"/>
        <v>5.6970934865054046</v>
      </c>
      <c r="C103" s="15">
        <v>298</v>
      </c>
      <c r="K103" s="39"/>
      <c r="L103" s="39"/>
      <c r="M103" s="39"/>
      <c r="N103" s="39"/>
      <c r="P103" s="39"/>
      <c r="Q103" s="39"/>
      <c r="V103" s="39">
        <v>79</v>
      </c>
      <c r="W103" s="39">
        <v>5.4067801414425558</v>
      </c>
      <c r="X103" s="39">
        <v>0.2315745278911896</v>
      </c>
      <c r="Y103" s="39">
        <v>0.57683825408218414</v>
      </c>
      <c r="AA103" s="39">
        <v>59.469696969696969</v>
      </c>
      <c r="AB103" s="39">
        <v>5.4510384535657002</v>
      </c>
      <c r="AD103">
        <f t="shared" si="5"/>
        <v>222.91268360506012</v>
      </c>
      <c r="AE103" s="15">
        <v>281</v>
      </c>
      <c r="AF103">
        <f t="shared" si="6"/>
        <v>58.087316394939876</v>
      </c>
      <c r="AG103">
        <f t="shared" si="7"/>
        <v>3374.136325965851</v>
      </c>
    </row>
    <row r="104" spans="1:33" x14ac:dyDescent="0.25">
      <c r="A104" s="15">
        <v>103</v>
      </c>
      <c r="B104">
        <f t="shared" si="4"/>
        <v>5.7868973813667077</v>
      </c>
      <c r="C104" s="15">
        <v>326</v>
      </c>
      <c r="K104" s="39"/>
      <c r="L104" s="39"/>
      <c r="M104" s="39"/>
      <c r="N104" s="39"/>
      <c r="P104" s="39"/>
      <c r="Q104" s="39"/>
      <c r="V104" s="39">
        <v>80</v>
      </c>
      <c r="W104" s="39">
        <v>5.4110825349010847</v>
      </c>
      <c r="X104" s="39">
        <v>0.40304799692398152</v>
      </c>
      <c r="Y104" s="39">
        <v>1.003968376721438</v>
      </c>
      <c r="AA104" s="39">
        <v>60.227272727272727</v>
      </c>
      <c r="AB104" s="39">
        <v>5.4510384535657002</v>
      </c>
      <c r="AD104">
        <f t="shared" si="5"/>
        <v>223.87380776138639</v>
      </c>
      <c r="AE104" s="15">
        <v>335</v>
      </c>
      <c r="AF104">
        <f t="shared" si="6"/>
        <v>111.12619223861361</v>
      </c>
      <c r="AG104">
        <f t="shared" si="7"/>
        <v>12349.030601453309</v>
      </c>
    </row>
    <row r="105" spans="1:33" x14ac:dyDescent="0.25">
      <c r="A105" s="15">
        <v>104</v>
      </c>
      <c r="B105">
        <f t="shared" si="4"/>
        <v>5.3752784076841653</v>
      </c>
      <c r="C105" s="15">
        <v>216</v>
      </c>
      <c r="K105" s="39"/>
      <c r="L105" s="39"/>
      <c r="M105" s="39"/>
      <c r="N105" s="39"/>
      <c r="P105" s="39"/>
      <c r="Q105" s="39"/>
      <c r="V105" s="39">
        <v>81</v>
      </c>
      <c r="W105" s="39">
        <v>5.4153849283596136</v>
      </c>
      <c r="X105" s="39">
        <v>-1.6311952944413526</v>
      </c>
      <c r="Y105" s="39">
        <v>-4.0632096037554852</v>
      </c>
      <c r="AA105" s="39">
        <v>60.984848484848484</v>
      </c>
      <c r="AB105" s="39">
        <v>5.4595855141441589</v>
      </c>
      <c r="AD105">
        <f t="shared" si="5"/>
        <v>224.83907596025404</v>
      </c>
      <c r="AE105" s="15">
        <v>44</v>
      </c>
      <c r="AF105">
        <f t="shared" si="6"/>
        <v>-180.83907596025404</v>
      </c>
      <c r="AG105">
        <f t="shared" si="7"/>
        <v>32702.771394158528</v>
      </c>
    </row>
    <row r="106" spans="1:33" x14ac:dyDescent="0.25">
      <c r="A106" s="15">
        <v>105</v>
      </c>
      <c r="B106">
        <f t="shared" si="4"/>
        <v>5.1059454739005803</v>
      </c>
      <c r="C106" s="15">
        <v>165</v>
      </c>
      <c r="K106" s="39"/>
      <c r="L106" s="39"/>
      <c r="M106" s="39"/>
      <c r="N106" s="39"/>
      <c r="P106" s="39"/>
      <c r="Q106" s="39"/>
      <c r="V106" s="39">
        <v>82</v>
      </c>
      <c r="W106" s="39">
        <v>5.4196873218181425</v>
      </c>
      <c r="X106" s="39">
        <v>-0.1466877632543957</v>
      </c>
      <c r="Y106" s="39">
        <v>-0.36539041673290013</v>
      </c>
      <c r="AA106" s="39">
        <v>61.742424242424235</v>
      </c>
      <c r="AB106" s="39">
        <v>5.4806389233419912</v>
      </c>
      <c r="AD106">
        <f t="shared" si="5"/>
        <v>225.808506069374</v>
      </c>
      <c r="AE106" s="15">
        <v>195</v>
      </c>
      <c r="AF106">
        <f t="shared" si="6"/>
        <v>-30.808506069374005</v>
      </c>
      <c r="AG106">
        <f t="shared" si="7"/>
        <v>949.16404622665493</v>
      </c>
    </row>
    <row r="107" spans="1:33" x14ac:dyDescent="0.25">
      <c r="A107" s="15">
        <v>106</v>
      </c>
      <c r="B107">
        <f t="shared" si="4"/>
        <v>5.43372200355424</v>
      </c>
      <c r="C107" s="15">
        <v>229</v>
      </c>
      <c r="K107" s="39"/>
      <c r="L107" s="39"/>
      <c r="M107" s="39"/>
      <c r="N107" s="39"/>
      <c r="P107" s="39"/>
      <c r="Q107" s="39"/>
      <c r="V107" s="39">
        <v>83</v>
      </c>
      <c r="W107" s="39">
        <v>5.4239897152766714</v>
      </c>
      <c r="X107" s="39">
        <v>-0.47522982489850296</v>
      </c>
      <c r="Y107" s="39">
        <v>-1.1837689791644135</v>
      </c>
      <c r="AA107" s="39">
        <v>62.499999999999993</v>
      </c>
      <c r="AB107" s="39">
        <v>5.4889377261566867</v>
      </c>
      <c r="AD107">
        <f t="shared" si="5"/>
        <v>226.78211603349672</v>
      </c>
      <c r="AE107" s="15">
        <v>141</v>
      </c>
      <c r="AF107">
        <f t="shared" si="6"/>
        <v>-85.78211603349672</v>
      </c>
      <c r="AG107">
        <f t="shared" si="7"/>
        <v>7358.5714311842949</v>
      </c>
    </row>
    <row r="108" spans="1:33" x14ac:dyDescent="0.25">
      <c r="A108" s="15">
        <v>107</v>
      </c>
      <c r="B108">
        <f t="shared" si="4"/>
        <v>5.5721540321777647</v>
      </c>
      <c r="C108" s="15">
        <v>263</v>
      </c>
      <c r="K108" s="39"/>
      <c r="L108" s="39"/>
      <c r="M108" s="39"/>
      <c r="N108" s="39"/>
      <c r="P108" s="39"/>
      <c r="Q108" s="39"/>
      <c r="V108" s="39">
        <v>84</v>
      </c>
      <c r="W108" s="39">
        <v>5.4282921087352003</v>
      </c>
      <c r="X108" s="39">
        <v>-0.55309478553404912</v>
      </c>
      <c r="Y108" s="39">
        <v>-1.3777259240676585</v>
      </c>
      <c r="AA108" s="39">
        <v>63.257575757575751</v>
      </c>
      <c r="AB108" s="39">
        <v>5.4930614433405482</v>
      </c>
      <c r="AD108">
        <f t="shared" si="5"/>
        <v>227.75992387474437</v>
      </c>
      <c r="AE108" s="15">
        <v>131</v>
      </c>
      <c r="AF108">
        <f t="shared" si="6"/>
        <v>-96.759923874744374</v>
      </c>
      <c r="AG108">
        <f t="shared" si="7"/>
        <v>9362.4828682463267</v>
      </c>
    </row>
    <row r="109" spans="1:33" x14ac:dyDescent="0.25">
      <c r="A109" s="15">
        <v>108</v>
      </c>
      <c r="B109">
        <f t="shared" si="4"/>
        <v>5.0434251169192468</v>
      </c>
      <c r="C109" s="15">
        <v>155</v>
      </c>
      <c r="K109" s="39"/>
      <c r="L109" s="39"/>
      <c r="M109" s="39"/>
      <c r="N109" s="39"/>
      <c r="P109" s="39"/>
      <c r="Q109" s="39"/>
      <c r="V109" s="39">
        <v>85</v>
      </c>
      <c r="W109" s="39">
        <v>5.4325945021937292</v>
      </c>
      <c r="X109" s="39">
        <v>0.48090850344454061</v>
      </c>
      <c r="Y109" s="39">
        <v>1.1979142266915055</v>
      </c>
      <c r="AA109" s="39">
        <v>64.015151515151516</v>
      </c>
      <c r="AB109" s="39">
        <v>5.5012582105447274</v>
      </c>
      <c r="AD109">
        <f t="shared" si="5"/>
        <v>228.74194769294436</v>
      </c>
      <c r="AE109" s="15">
        <v>370</v>
      </c>
      <c r="AF109">
        <f t="shared" si="6"/>
        <v>141.25805230705564</v>
      </c>
      <c r="AG109">
        <f t="shared" si="7"/>
        <v>19953.837341582865</v>
      </c>
    </row>
    <row r="110" spans="1:33" x14ac:dyDescent="0.25">
      <c r="A110" s="15">
        <v>109</v>
      </c>
      <c r="B110">
        <f t="shared" si="4"/>
        <v>5.4595855141441589</v>
      </c>
      <c r="C110" s="15">
        <v>235</v>
      </c>
      <c r="K110" s="39"/>
      <c r="L110" s="39"/>
      <c r="M110" s="39"/>
      <c r="N110" s="39"/>
      <c r="P110" s="39"/>
      <c r="Q110" s="39"/>
      <c r="V110" s="39">
        <v>86</v>
      </c>
      <c r="W110" s="39">
        <v>5.4368968956522581</v>
      </c>
      <c r="X110" s="39">
        <v>4.3742027689733121E-2</v>
      </c>
      <c r="Y110" s="39">
        <v>0.10895876637354543</v>
      </c>
      <c r="AA110" s="39">
        <v>64.772727272727266</v>
      </c>
      <c r="AB110" s="39">
        <v>5.5134287461649825</v>
      </c>
      <c r="AD110">
        <f t="shared" si="5"/>
        <v>229.72820566596451</v>
      </c>
      <c r="AE110" s="15">
        <v>240</v>
      </c>
      <c r="AF110">
        <f t="shared" si="6"/>
        <v>10.271794334035491</v>
      </c>
      <c r="AG110">
        <f t="shared" si="7"/>
        <v>105.50975884072361</v>
      </c>
    </row>
    <row r="111" spans="1:33" x14ac:dyDescent="0.25">
      <c r="A111" s="15">
        <v>110</v>
      </c>
      <c r="B111">
        <f t="shared" si="4"/>
        <v>5.4889377261566867</v>
      </c>
      <c r="C111" s="15">
        <v>242</v>
      </c>
      <c r="K111" s="39"/>
      <c r="L111" s="39"/>
      <c r="M111" s="39"/>
      <c r="N111" s="39"/>
      <c r="P111" s="39"/>
      <c r="Q111" s="39"/>
      <c r="V111" s="39">
        <v>87</v>
      </c>
      <c r="W111" s="39">
        <v>5.441199289110787</v>
      </c>
      <c r="X111" s="39">
        <v>-5.212755929428603E-2</v>
      </c>
      <c r="Y111" s="39">
        <v>-0.12984662245326975</v>
      </c>
      <c r="AA111" s="39">
        <v>65.530303030303031</v>
      </c>
      <c r="AB111" s="39">
        <v>5.5174528964647074</v>
      </c>
      <c r="AD111">
        <f t="shared" si="5"/>
        <v>230.71871605004944</v>
      </c>
      <c r="AE111" s="15">
        <v>219</v>
      </c>
      <c r="AF111">
        <f t="shared" si="6"/>
        <v>-11.718716050049437</v>
      </c>
      <c r="AG111">
        <f t="shared" si="7"/>
        <v>137.32830586168629</v>
      </c>
    </row>
    <row r="112" spans="1:33" x14ac:dyDescent="0.25">
      <c r="A112" s="15">
        <v>111</v>
      </c>
      <c r="B112">
        <f t="shared" si="4"/>
        <v>5.7104270173748697</v>
      </c>
      <c r="C112" s="15">
        <v>302</v>
      </c>
      <c r="K112" s="39"/>
      <c r="L112" s="39"/>
      <c r="M112" s="39"/>
      <c r="N112" s="39"/>
      <c r="P112" s="39"/>
      <c r="Q112" s="39"/>
      <c r="V112" s="39">
        <v>88</v>
      </c>
      <c r="W112" s="39">
        <v>5.4455016825693159</v>
      </c>
      <c r="X112" s="39">
        <v>0.60658748635510129</v>
      </c>
      <c r="Y112" s="39">
        <v>1.510973032153117</v>
      </c>
      <c r="AA112" s="39">
        <v>66.287878787878782</v>
      </c>
      <c r="AB112" s="39">
        <v>5.5174528964647074</v>
      </c>
      <c r="AD112">
        <f t="shared" si="5"/>
        <v>231.7134971801585</v>
      </c>
      <c r="AE112" s="15">
        <v>425</v>
      </c>
      <c r="AF112">
        <f t="shared" si="6"/>
        <v>193.2865028198415</v>
      </c>
      <c r="AG112">
        <f t="shared" si="7"/>
        <v>37359.672172324594</v>
      </c>
    </row>
    <row r="113" spans="1:33" x14ac:dyDescent="0.25">
      <c r="A113" s="15">
        <v>112</v>
      </c>
      <c r="B113">
        <f t="shared" si="4"/>
        <v>5.9107966440405271</v>
      </c>
      <c r="C113" s="15">
        <v>369</v>
      </c>
      <c r="K113" s="39"/>
      <c r="L113" s="39"/>
      <c r="M113" s="39"/>
      <c r="N113" s="39"/>
      <c r="P113" s="39"/>
      <c r="Q113" s="39"/>
      <c r="V113" s="39">
        <v>89</v>
      </c>
      <c r="W113" s="39">
        <v>5.4498040760278448</v>
      </c>
      <c r="X113" s="39">
        <v>0.66166326347483384</v>
      </c>
      <c r="Y113" s="39">
        <v>1.648163488311118</v>
      </c>
      <c r="AA113" s="39">
        <v>67.045454545454547</v>
      </c>
      <c r="AB113" s="39">
        <v>5.5373342670185366</v>
      </c>
      <c r="AD113">
        <f t="shared" si="5"/>
        <v>232.7125674703052</v>
      </c>
      <c r="AE113" s="15">
        <v>451</v>
      </c>
      <c r="AF113">
        <f t="shared" si="6"/>
        <v>218.2874325296948</v>
      </c>
      <c r="AG113">
        <f t="shared" si="7"/>
        <v>47649.403200406057</v>
      </c>
    </row>
    <row r="114" spans="1:33" x14ac:dyDescent="0.25">
      <c r="A114" s="15">
        <v>113</v>
      </c>
      <c r="B114">
        <f t="shared" si="4"/>
        <v>5.7868973813667077</v>
      </c>
      <c r="C114" s="15">
        <v>326</v>
      </c>
      <c r="K114" s="39"/>
      <c r="L114" s="39"/>
      <c r="M114" s="39"/>
      <c r="N114" s="39"/>
      <c r="P114" s="39"/>
      <c r="Q114" s="39"/>
      <c r="V114" s="39">
        <v>90</v>
      </c>
      <c r="W114" s="39">
        <v>5.4541064694863737</v>
      </c>
      <c r="X114" s="39">
        <v>0.50173089997845732</v>
      </c>
      <c r="Y114" s="39">
        <v>1.2497815670756565</v>
      </c>
      <c r="AA114" s="39">
        <v>67.803030303030297</v>
      </c>
      <c r="AB114" s="39">
        <v>5.5373342670185366</v>
      </c>
      <c r="AD114">
        <f t="shared" si="5"/>
        <v>233.71594541389811</v>
      </c>
      <c r="AE114" s="15">
        <v>386</v>
      </c>
      <c r="AF114">
        <f t="shared" si="6"/>
        <v>152.28405458610189</v>
      </c>
      <c r="AG114">
        <f t="shared" si="7"/>
        <v>23190.433281182861</v>
      </c>
    </row>
    <row r="115" spans="1:33" x14ac:dyDescent="0.25">
      <c r="A115" s="15">
        <v>114</v>
      </c>
      <c r="B115">
        <f t="shared" si="4"/>
        <v>6.1944053911046719</v>
      </c>
      <c r="C115" s="15">
        <v>490</v>
      </c>
      <c r="K115" s="39"/>
      <c r="L115" s="39"/>
      <c r="M115" s="39"/>
      <c r="N115" s="39"/>
      <c r="P115" s="39"/>
      <c r="Q115" s="39"/>
      <c r="V115" s="39">
        <v>91</v>
      </c>
      <c r="W115" s="39">
        <v>5.4584088629449017</v>
      </c>
      <c r="X115" s="39">
        <v>0.84237693171834227</v>
      </c>
      <c r="Y115" s="39">
        <v>2.0983103927554319</v>
      </c>
      <c r="AA115" s="39">
        <v>68.560606060606062</v>
      </c>
      <c r="AB115" s="39">
        <v>5.5490760848952201</v>
      </c>
      <c r="AD115">
        <f t="shared" si="5"/>
        <v>234.72364958408281</v>
      </c>
      <c r="AE115" s="15">
        <v>545</v>
      </c>
      <c r="AF115">
        <f t="shared" si="6"/>
        <v>310.27635041591719</v>
      </c>
      <c r="AG115">
        <f t="shared" si="7"/>
        <v>96271.413627421032</v>
      </c>
    </row>
    <row r="116" spans="1:33" x14ac:dyDescent="0.25">
      <c r="A116" s="15">
        <v>115</v>
      </c>
      <c r="B116">
        <f t="shared" si="4"/>
        <v>5.4293456289544411</v>
      </c>
      <c r="C116" s="15">
        <v>228</v>
      </c>
      <c r="K116" s="39"/>
      <c r="L116" s="39"/>
      <c r="M116" s="39"/>
      <c r="N116" s="39"/>
      <c r="P116" s="39"/>
      <c r="Q116" s="39"/>
      <c r="V116" s="39">
        <v>92</v>
      </c>
      <c r="W116" s="39">
        <v>5.4627112564034306</v>
      </c>
      <c r="X116" s="39">
        <v>1.256301897981829</v>
      </c>
      <c r="Y116" s="39">
        <v>3.1293726474635446</v>
      </c>
      <c r="AA116" s="39">
        <v>69.318181818181813</v>
      </c>
      <c r="AB116" s="39">
        <v>5.5683445037610966</v>
      </c>
      <c r="AD116">
        <f t="shared" si="5"/>
        <v>235.73569863408673</v>
      </c>
      <c r="AE116" s="15">
        <v>828</v>
      </c>
      <c r="AF116">
        <f t="shared" si="6"/>
        <v>592.2643013659133</v>
      </c>
      <c r="AG116">
        <f t="shared" si="7"/>
        <v>350777.00267245335</v>
      </c>
    </row>
    <row r="117" spans="1:33" x14ac:dyDescent="0.25">
      <c r="A117" s="15">
        <v>116</v>
      </c>
      <c r="B117">
        <f t="shared" si="4"/>
        <v>5.5490760848952201</v>
      </c>
      <c r="C117" s="15">
        <v>257</v>
      </c>
      <c r="K117" s="39"/>
      <c r="L117" s="39"/>
      <c r="M117" s="39"/>
      <c r="N117" s="39"/>
      <c r="P117" s="39"/>
      <c r="Q117" s="39"/>
      <c r="V117" s="39">
        <v>93</v>
      </c>
      <c r="W117" s="39">
        <v>5.4670136498619595</v>
      </c>
      <c r="X117" s="39">
        <v>-1.2926263799663227</v>
      </c>
      <c r="Y117" s="39">
        <v>-3.2198547525516328</v>
      </c>
      <c r="AA117" s="39">
        <v>70.075757575757578</v>
      </c>
      <c r="AB117" s="39">
        <v>5.5721540321777647</v>
      </c>
      <c r="AD117">
        <f t="shared" si="5"/>
        <v>236.75211129756303</v>
      </c>
      <c r="AE117" s="15">
        <v>65</v>
      </c>
      <c r="AF117">
        <f t="shared" si="6"/>
        <v>-171.75211129756303</v>
      </c>
      <c r="AG117">
        <f t="shared" si="7"/>
        <v>29498.787735170481</v>
      </c>
    </row>
    <row r="118" spans="1:33" x14ac:dyDescent="0.25">
      <c r="A118" s="15">
        <v>117</v>
      </c>
      <c r="B118">
        <f t="shared" si="4"/>
        <v>5.5174528964647074</v>
      </c>
      <c r="C118" s="15">
        <v>249</v>
      </c>
      <c r="K118" s="39"/>
      <c r="L118" s="39"/>
      <c r="M118" s="39"/>
      <c r="N118" s="39"/>
      <c r="P118" s="39"/>
      <c r="Q118" s="39"/>
      <c r="V118" s="39">
        <v>94</v>
      </c>
      <c r="W118" s="39">
        <v>5.4713160433204884</v>
      </c>
      <c r="X118" s="39">
        <v>-0.67552549772374704</v>
      </c>
      <c r="Y118" s="39">
        <v>-1.6826934820657791</v>
      </c>
      <c r="AA118" s="39">
        <v>70.833333333333329</v>
      </c>
      <c r="AB118" s="39">
        <v>5.5721540321777647</v>
      </c>
      <c r="AD118">
        <f t="shared" si="5"/>
        <v>237.77290638893831</v>
      </c>
      <c r="AE118" s="15">
        <v>121</v>
      </c>
      <c r="AF118">
        <f t="shared" si="6"/>
        <v>-116.77290638893831</v>
      </c>
      <c r="AG118">
        <f t="shared" si="7"/>
        <v>13635.911666519749</v>
      </c>
    </row>
    <row r="119" spans="1:33" x14ac:dyDescent="0.25">
      <c r="A119" s="15">
        <v>118</v>
      </c>
      <c r="B119">
        <f t="shared" si="4"/>
        <v>5.7104270173748697</v>
      </c>
      <c r="C119" s="15">
        <v>302</v>
      </c>
      <c r="K119" s="39"/>
      <c r="L119" s="39"/>
      <c r="M119" s="39"/>
      <c r="N119" s="39"/>
      <c r="P119" s="39"/>
      <c r="Q119" s="39"/>
      <c r="V119" s="39">
        <v>95</v>
      </c>
      <c r="W119" s="39">
        <v>5.4756184367790173</v>
      </c>
      <c r="X119" s="39">
        <v>6.171583023951932E-2</v>
      </c>
      <c r="Y119" s="39">
        <v>0.15373043006407103</v>
      </c>
      <c r="AA119" s="39">
        <v>71.590909090909093</v>
      </c>
      <c r="AB119" s="39">
        <v>5.602118820879701</v>
      </c>
      <c r="AD119">
        <f t="shared" si="5"/>
        <v>238.79810280376054</v>
      </c>
      <c r="AE119" s="15">
        <v>254</v>
      </c>
      <c r="AF119">
        <f t="shared" si="6"/>
        <v>15.201897196239457</v>
      </c>
      <c r="AG119">
        <f t="shared" si="7"/>
        <v>231.09767836503306</v>
      </c>
    </row>
    <row r="120" spans="1:33" x14ac:dyDescent="0.25">
      <c r="A120" s="15">
        <v>119</v>
      </c>
      <c r="B120">
        <f t="shared" si="4"/>
        <v>5.7104270173748697</v>
      </c>
      <c r="C120" s="15">
        <v>302</v>
      </c>
      <c r="K120" s="39"/>
      <c r="L120" s="39"/>
      <c r="M120" s="39"/>
      <c r="N120" s="39"/>
      <c r="P120" s="39"/>
      <c r="Q120" s="39"/>
      <c r="V120" s="39">
        <v>96</v>
      </c>
      <c r="W120" s="39">
        <v>5.4799208302375462</v>
      </c>
      <c r="X120" s="39">
        <v>-0.72633063913118168</v>
      </c>
      <c r="Y120" s="39">
        <v>-1.8092460409103912</v>
      </c>
      <c r="AA120" s="39">
        <v>72.348484848484844</v>
      </c>
      <c r="AB120" s="39">
        <v>5.6058020662959978</v>
      </c>
      <c r="AD120">
        <f t="shared" si="5"/>
        <v>239.82771951904903</v>
      </c>
      <c r="AE120" s="15">
        <v>116</v>
      </c>
      <c r="AF120">
        <f t="shared" si="6"/>
        <v>-123.82771951904903</v>
      </c>
      <c r="AG120">
        <f t="shared" si="7"/>
        <v>15333.304121288274</v>
      </c>
    </row>
    <row r="121" spans="1:33" x14ac:dyDescent="0.25">
      <c r="A121" s="15">
        <v>120</v>
      </c>
      <c r="B121">
        <f t="shared" si="4"/>
        <v>5.4930614433405482</v>
      </c>
      <c r="C121" s="15">
        <v>243</v>
      </c>
      <c r="K121" s="39"/>
      <c r="L121" s="39"/>
      <c r="M121" s="39"/>
      <c r="N121" s="39"/>
      <c r="P121" s="39"/>
      <c r="Q121" s="39"/>
      <c r="V121" s="39">
        <v>97</v>
      </c>
      <c r="W121" s="39">
        <v>5.4842232236960751</v>
      </c>
      <c r="X121" s="39">
        <v>0.39630976270462526</v>
      </c>
      <c r="Y121" s="39">
        <v>0.98718383958738587</v>
      </c>
      <c r="AA121" s="39">
        <v>73.106060606060595</v>
      </c>
      <c r="AB121" s="39">
        <v>5.6204008657171496</v>
      </c>
      <c r="AD121">
        <f t="shared" si="5"/>
        <v>240.86177559364543</v>
      </c>
      <c r="AE121" s="15">
        <v>358</v>
      </c>
      <c r="AF121">
        <f t="shared" si="6"/>
        <v>117.13822440635457</v>
      </c>
      <c r="AG121">
        <f t="shared" si="7"/>
        <v>13721.363617073481</v>
      </c>
    </row>
    <row r="122" spans="1:33" x14ac:dyDescent="0.25">
      <c r="A122" s="15">
        <v>121</v>
      </c>
      <c r="B122">
        <f t="shared" si="4"/>
        <v>5.4510384535657002</v>
      </c>
      <c r="C122" s="15">
        <v>233</v>
      </c>
      <c r="K122" s="39"/>
      <c r="L122" s="39"/>
      <c r="M122" s="39"/>
      <c r="N122" s="39"/>
      <c r="P122" s="39"/>
      <c r="Q122" s="39"/>
      <c r="V122" s="39">
        <v>98</v>
      </c>
      <c r="W122" s="39">
        <v>5.488525617154604</v>
      </c>
      <c r="X122" s="39">
        <v>-0.2415015449941178</v>
      </c>
      <c r="Y122" s="39">
        <v>-0.60156585804641505</v>
      </c>
      <c r="AA122" s="39">
        <v>73.86363636363636</v>
      </c>
      <c r="AB122" s="39">
        <v>5.6383546693337454</v>
      </c>
      <c r="AD122">
        <f t="shared" si="5"/>
        <v>241.90029016856678</v>
      </c>
      <c r="AE122" s="15">
        <v>190</v>
      </c>
      <c r="AF122">
        <f t="shared" si="6"/>
        <v>-51.900290168566784</v>
      </c>
      <c r="AG122">
        <f t="shared" si="7"/>
        <v>2693.6401195814301</v>
      </c>
    </row>
    <row r="123" spans="1:33" x14ac:dyDescent="0.25">
      <c r="A123" s="15">
        <v>122</v>
      </c>
      <c r="B123">
        <f t="shared" si="4"/>
        <v>5.4380793089231956</v>
      </c>
      <c r="C123" s="15">
        <v>230</v>
      </c>
      <c r="K123" s="39"/>
      <c r="L123" s="39"/>
      <c r="M123" s="39"/>
      <c r="N123" s="39"/>
      <c r="P123" s="39"/>
      <c r="Q123" s="39"/>
      <c r="V123" s="39">
        <v>99</v>
      </c>
      <c r="W123" s="39">
        <v>5.4928280106131329</v>
      </c>
      <c r="X123" s="39">
        <v>-0.81069678348891294</v>
      </c>
      <c r="Y123" s="39">
        <v>-2.0193970443826981</v>
      </c>
      <c r="AA123" s="39">
        <v>74.62121212121211</v>
      </c>
      <c r="AB123" s="39">
        <v>5.6419070709381138</v>
      </c>
      <c r="AD123">
        <f t="shared" si="5"/>
        <v>242.94328246735972</v>
      </c>
      <c r="AE123" s="15">
        <v>108</v>
      </c>
      <c r="AF123">
        <f t="shared" si="6"/>
        <v>-134.94328246735972</v>
      </c>
      <c r="AG123">
        <f t="shared" si="7"/>
        <v>18209.689483065635</v>
      </c>
    </row>
    <row r="124" spans="1:33" x14ac:dyDescent="0.25">
      <c r="A124" s="15">
        <v>123</v>
      </c>
      <c r="B124">
        <f t="shared" si="4"/>
        <v>5.6489742381612063</v>
      </c>
      <c r="C124" s="15">
        <v>284</v>
      </c>
      <c r="K124" s="39"/>
      <c r="L124" s="39"/>
      <c r="M124" s="39"/>
      <c r="N124" s="39"/>
      <c r="P124" s="39"/>
      <c r="Q124" s="39"/>
      <c r="V124" s="39">
        <v>100</v>
      </c>
      <c r="W124" s="39">
        <v>5.4971304040716618</v>
      </c>
      <c r="X124" s="39">
        <v>-0.3323444301481473</v>
      </c>
      <c r="Y124" s="39">
        <v>-0.82785003422601977</v>
      </c>
      <c r="AA124" s="39">
        <v>75.378787878787875</v>
      </c>
      <c r="AB124" s="39">
        <v>5.6489742381612063</v>
      </c>
      <c r="AD124">
        <f t="shared" si="5"/>
        <v>243.99077179645627</v>
      </c>
      <c r="AE124" s="15">
        <v>175</v>
      </c>
      <c r="AF124">
        <f t="shared" si="6"/>
        <v>-68.990771796456272</v>
      </c>
      <c r="AG124">
        <f t="shared" si="7"/>
        <v>4759.7265930707063</v>
      </c>
    </row>
    <row r="125" spans="1:33" x14ac:dyDescent="0.25">
      <c r="A125" s="15">
        <v>124</v>
      </c>
      <c r="B125">
        <f t="shared" si="4"/>
        <v>5.8377304471659395</v>
      </c>
      <c r="C125" s="15">
        <v>343</v>
      </c>
      <c r="K125" s="39"/>
      <c r="L125" s="39"/>
      <c r="M125" s="39"/>
      <c r="N125" s="39"/>
      <c r="P125" s="39"/>
      <c r="Q125" s="39"/>
      <c r="V125" s="39">
        <v>101</v>
      </c>
      <c r="W125" s="39">
        <v>5.5014327975301907</v>
      </c>
      <c r="X125" s="39">
        <v>-0.13545678250833948</v>
      </c>
      <c r="Y125" s="39">
        <v>-0.33741471757383834</v>
      </c>
      <c r="AA125" s="39">
        <v>76.136363636363626</v>
      </c>
      <c r="AB125" s="39">
        <v>5.6801726090170677</v>
      </c>
      <c r="AD125">
        <f t="shared" si="5"/>
        <v>245.04277754553129</v>
      </c>
      <c r="AE125" s="15">
        <v>214</v>
      </c>
      <c r="AF125">
        <f t="shared" si="6"/>
        <v>-31.042777545531294</v>
      </c>
      <c r="AG125">
        <f t="shared" si="7"/>
        <v>963.65403774134188</v>
      </c>
    </row>
    <row r="126" spans="1:33" x14ac:dyDescent="0.25">
      <c r="A126" s="15">
        <v>125</v>
      </c>
      <c r="B126">
        <f t="shared" si="4"/>
        <v>5.8833223884882786</v>
      </c>
      <c r="C126" s="15">
        <v>359</v>
      </c>
      <c r="K126" s="39"/>
      <c r="L126" s="39"/>
      <c r="M126" s="39"/>
      <c r="N126" s="39"/>
      <c r="P126" s="39"/>
      <c r="Q126" s="39"/>
      <c r="V126" s="39">
        <v>102</v>
      </c>
      <c r="W126" s="39">
        <v>5.5057351909887196</v>
      </c>
      <c r="X126" s="39">
        <v>0.19135829551668504</v>
      </c>
      <c r="Y126" s="39">
        <v>0.47666203228471238</v>
      </c>
      <c r="AA126" s="39">
        <v>76.893939393939391</v>
      </c>
      <c r="AB126" s="39">
        <v>5.6903594543240601</v>
      </c>
      <c r="AD126">
        <f t="shared" si="5"/>
        <v>246.09931918786137</v>
      </c>
      <c r="AE126" s="15">
        <v>298</v>
      </c>
      <c r="AF126">
        <f t="shared" si="6"/>
        <v>51.900680812138631</v>
      </c>
      <c r="AG126">
        <f t="shared" si="7"/>
        <v>2693.6806687634953</v>
      </c>
    </row>
    <row r="127" spans="1:33" x14ac:dyDescent="0.25">
      <c r="A127" s="15">
        <v>126</v>
      </c>
      <c r="B127">
        <f t="shared" si="4"/>
        <v>5.8916442118257715</v>
      </c>
      <c r="C127" s="15">
        <v>362</v>
      </c>
      <c r="K127" s="39"/>
      <c r="L127" s="39"/>
      <c r="M127" s="39"/>
      <c r="N127" s="39"/>
      <c r="P127" s="39"/>
      <c r="Q127" s="39"/>
      <c r="V127" s="39">
        <v>103</v>
      </c>
      <c r="W127" s="39">
        <v>5.5100375844472484</v>
      </c>
      <c r="X127" s="39">
        <v>0.27685979691945928</v>
      </c>
      <c r="Y127" s="39">
        <v>0.6896411420327242</v>
      </c>
      <c r="AA127" s="39">
        <v>77.651515151515142</v>
      </c>
      <c r="AB127" s="39">
        <v>5.6970934865054046</v>
      </c>
      <c r="AD127">
        <f t="shared" si="5"/>
        <v>247.16041628068527</v>
      </c>
      <c r="AE127" s="15">
        <v>326</v>
      </c>
      <c r="AF127">
        <f t="shared" si="6"/>
        <v>78.839583719314732</v>
      </c>
      <c r="AG127">
        <f t="shared" si="7"/>
        <v>6215.6799610348362</v>
      </c>
    </row>
    <row r="128" spans="1:33" x14ac:dyDescent="0.25">
      <c r="A128" s="15">
        <v>127</v>
      </c>
      <c r="B128">
        <f t="shared" si="4"/>
        <v>5.602118820879701</v>
      </c>
      <c r="C128" s="15">
        <v>271</v>
      </c>
      <c r="K128" s="39"/>
      <c r="L128" s="39"/>
      <c r="M128" s="39"/>
      <c r="N128" s="39"/>
      <c r="P128" s="39"/>
      <c r="Q128" s="39"/>
      <c r="V128" s="39">
        <v>104</v>
      </c>
      <c r="W128" s="39">
        <v>5.5143399779057773</v>
      </c>
      <c r="X128" s="39">
        <v>-0.13906157022161203</v>
      </c>
      <c r="Y128" s="39">
        <v>-0.34639402747375136</v>
      </c>
      <c r="AA128" s="39">
        <v>78.409090909090907</v>
      </c>
      <c r="AB128" s="39">
        <v>5.7037824746562009</v>
      </c>
      <c r="AD128">
        <f t="shared" si="5"/>
        <v>248.22608846556597</v>
      </c>
      <c r="AE128" s="15">
        <v>216</v>
      </c>
      <c r="AF128">
        <f t="shared" si="6"/>
        <v>-32.226088465565965</v>
      </c>
      <c r="AG128">
        <f t="shared" si="7"/>
        <v>1038.5207777904836</v>
      </c>
    </row>
    <row r="129" spans="1:33" x14ac:dyDescent="0.25">
      <c r="A129" s="15">
        <v>128</v>
      </c>
      <c r="B129">
        <f t="shared" si="4"/>
        <v>5.0304379213924353</v>
      </c>
      <c r="C129" s="15">
        <v>153</v>
      </c>
      <c r="K129" s="39"/>
      <c r="L129" s="39"/>
      <c r="M129" s="39"/>
      <c r="N129" s="39"/>
      <c r="P129" s="39"/>
      <c r="Q129" s="39"/>
      <c r="V129" s="39">
        <v>105</v>
      </c>
      <c r="W129" s="39">
        <v>5.5186423713643062</v>
      </c>
      <c r="X129" s="39">
        <v>-0.41269689746372595</v>
      </c>
      <c r="Y129" s="39">
        <v>-1.0280032090142801</v>
      </c>
      <c r="AA129" s="39">
        <v>79.166666666666657</v>
      </c>
      <c r="AB129" s="39">
        <v>5.7104270173748697</v>
      </c>
      <c r="AD129">
        <f t="shared" si="5"/>
        <v>249.29635546875423</v>
      </c>
      <c r="AE129" s="15">
        <v>165</v>
      </c>
      <c r="AF129">
        <f t="shared" si="6"/>
        <v>-84.296355468754228</v>
      </c>
      <c r="AG129">
        <f t="shared" si="7"/>
        <v>7105.8755453145714</v>
      </c>
    </row>
    <row r="130" spans="1:33" x14ac:dyDescent="0.25">
      <c r="A130" s="15">
        <v>129</v>
      </c>
      <c r="B130">
        <f t="shared" si="4"/>
        <v>5.4424177105217932</v>
      </c>
      <c r="C130" s="15">
        <v>231</v>
      </c>
      <c r="K130" s="39"/>
      <c r="L130" s="39"/>
      <c r="M130" s="39"/>
      <c r="N130" s="39"/>
      <c r="P130" s="39"/>
      <c r="Q130" s="39"/>
      <c r="V130" s="39">
        <v>106</v>
      </c>
      <c r="W130" s="39">
        <v>5.5229447648228343</v>
      </c>
      <c r="X130" s="39">
        <v>-8.9222761268594297E-2</v>
      </c>
      <c r="Y130" s="39">
        <v>-0.22224854479137882</v>
      </c>
      <c r="AA130" s="39">
        <v>79.924242424242422</v>
      </c>
      <c r="AB130" s="39">
        <v>5.7104270173748697</v>
      </c>
      <c r="AD130">
        <f t="shared" si="5"/>
        <v>250.37123710155348</v>
      </c>
      <c r="AE130" s="15">
        <v>229</v>
      </c>
      <c r="AF130">
        <f t="shared" si="6"/>
        <v>-21.371237101553476</v>
      </c>
      <c r="AG130">
        <f t="shared" si="7"/>
        <v>456.72977525081581</v>
      </c>
    </row>
    <row r="131" spans="1:33" x14ac:dyDescent="0.25">
      <c r="A131" s="15">
        <v>130</v>
      </c>
      <c r="B131">
        <f t="shared" ref="B131:B133" si="8">LN(C131)</f>
        <v>5.0937502008067623</v>
      </c>
      <c r="C131" s="15">
        <v>163</v>
      </c>
      <c r="K131" s="39"/>
      <c r="L131" s="39"/>
      <c r="M131" s="39"/>
      <c r="N131" s="39"/>
      <c r="P131" s="39"/>
      <c r="Q131" s="39"/>
      <c r="V131" s="39">
        <v>107</v>
      </c>
      <c r="W131" s="39">
        <v>5.5272471582813631</v>
      </c>
      <c r="X131" s="39">
        <v>4.4906873896401578E-2</v>
      </c>
      <c r="Y131" s="39">
        <v>0.11186032838145593</v>
      </c>
      <c r="AA131" s="39">
        <v>80.681818181818173</v>
      </c>
      <c r="AB131" s="39">
        <v>5.7104270173748697</v>
      </c>
      <c r="AD131">
        <f t="shared" si="5"/>
        <v>251.45075326068752</v>
      </c>
      <c r="AE131" s="15">
        <v>263</v>
      </c>
      <c r="AF131">
        <f t="shared" si="6"/>
        <v>11.54924673931248</v>
      </c>
      <c r="AG131">
        <f t="shared" si="7"/>
        <v>133.38510024551994</v>
      </c>
    </row>
    <row r="132" spans="1:33" x14ac:dyDescent="0.25">
      <c r="A132" s="15">
        <v>131</v>
      </c>
      <c r="B132">
        <f t="shared" si="8"/>
        <v>5.6058020662959978</v>
      </c>
      <c r="C132" s="15">
        <v>272</v>
      </c>
      <c r="K132" s="39"/>
      <c r="L132" s="39"/>
      <c r="M132" s="39"/>
      <c r="N132" s="39"/>
      <c r="P132" s="39"/>
      <c r="Q132" s="39"/>
      <c r="V132" s="39">
        <v>108</v>
      </c>
      <c r="W132" s="39">
        <v>5.531549551739892</v>
      </c>
      <c r="X132" s="39">
        <v>-0.48812443482064527</v>
      </c>
      <c r="Y132" s="39">
        <v>-1.2158886787803158</v>
      </c>
      <c r="AA132" s="39">
        <v>81.439393939393938</v>
      </c>
      <c r="AB132" s="39">
        <v>5.7365722974791922</v>
      </c>
      <c r="AD132">
        <f t="shared" si="5"/>
        <v>252.53492392866738</v>
      </c>
      <c r="AE132" s="15">
        <v>155</v>
      </c>
      <c r="AF132">
        <f t="shared" si="6"/>
        <v>-97.534923928667382</v>
      </c>
      <c r="AG132">
        <f t="shared" si="7"/>
        <v>9513.0613857709322</v>
      </c>
    </row>
    <row r="133" spans="1:33" x14ac:dyDescent="0.25">
      <c r="A133" s="15">
        <v>132</v>
      </c>
      <c r="B133">
        <f t="shared" si="8"/>
        <v>5.5174528964647074</v>
      </c>
      <c r="C133" s="15">
        <v>249</v>
      </c>
      <c r="K133" s="39"/>
      <c r="L133" s="39"/>
      <c r="M133" s="39"/>
      <c r="N133" s="39"/>
      <c r="P133" s="39"/>
      <c r="Q133" s="39"/>
      <c r="V133" s="39">
        <v>109</v>
      </c>
      <c r="W133" s="39">
        <v>5.5358519451984209</v>
      </c>
      <c r="X133" s="39">
        <v>-7.6266431054262007E-2</v>
      </c>
      <c r="Y133" s="39">
        <v>-0.18997510363096165</v>
      </c>
      <c r="AA133" s="39">
        <v>82.196969696969688</v>
      </c>
      <c r="AB133" s="39">
        <v>5.7365722974791922</v>
      </c>
      <c r="AD133">
        <f t="shared" si="5"/>
        <v>253.62376917416219</v>
      </c>
      <c r="AE133" s="15">
        <v>235</v>
      </c>
      <c r="AF133">
        <f t="shared" si="6"/>
        <v>-18.623769174162192</v>
      </c>
      <c r="AG133">
        <f t="shared" si="7"/>
        <v>346.84477825247387</v>
      </c>
    </row>
    <row r="134" spans="1:33" x14ac:dyDescent="0.25">
      <c r="K134" s="39"/>
      <c r="L134" s="39"/>
      <c r="M134" s="39"/>
      <c r="N134" s="39"/>
      <c r="P134" s="39"/>
      <c r="Q134" s="39"/>
      <c r="V134" s="39">
        <v>110</v>
      </c>
      <c r="W134" s="39">
        <v>5.5401543386569498</v>
      </c>
      <c r="X134" s="39">
        <v>-5.1216612500263103E-2</v>
      </c>
      <c r="Y134" s="39">
        <v>-0.12757750864783063</v>
      </c>
      <c r="AA134" s="39">
        <v>82.954545454545453</v>
      </c>
      <c r="AB134" s="39">
        <v>5.7462031905401529</v>
      </c>
      <c r="AD134">
        <f t="shared" si="5"/>
        <v>254.71730915237038</v>
      </c>
      <c r="AE134" s="15">
        <v>242</v>
      </c>
      <c r="AF134">
        <f t="shared" si="6"/>
        <v>-12.717309152370376</v>
      </c>
      <c r="AG134">
        <f t="shared" si="7"/>
        <v>161.72995207696334</v>
      </c>
    </row>
    <row r="135" spans="1:33" x14ac:dyDescent="0.25">
      <c r="K135" s="39"/>
      <c r="L135" s="39"/>
      <c r="M135" s="39"/>
      <c r="N135" s="39"/>
      <c r="P135" s="39"/>
      <c r="Q135" s="39"/>
      <c r="V135" s="39">
        <v>111</v>
      </c>
      <c r="W135" s="39">
        <v>5.5444567321154787</v>
      </c>
      <c r="X135" s="39">
        <v>0.16597028525939095</v>
      </c>
      <c r="Y135" s="39">
        <v>0.41342202206079309</v>
      </c>
      <c r="AA135" s="39">
        <v>83.712121212121204</v>
      </c>
      <c r="AB135" s="39">
        <v>5.7620513827801769</v>
      </c>
      <c r="AD135">
        <f t="shared" si="5"/>
        <v>255.81556410539278</v>
      </c>
      <c r="AE135" s="15">
        <v>302</v>
      </c>
      <c r="AF135">
        <f t="shared" si="6"/>
        <v>46.184435894607219</v>
      </c>
      <c r="AG135">
        <f t="shared" si="7"/>
        <v>2133.0021189030836</v>
      </c>
    </row>
    <row r="136" spans="1:33" x14ac:dyDescent="0.25">
      <c r="K136" s="39"/>
      <c r="L136" s="39"/>
      <c r="M136" s="39"/>
      <c r="N136" s="39"/>
      <c r="P136" s="39"/>
      <c r="Q136" s="39"/>
      <c r="V136" s="39">
        <v>112</v>
      </c>
      <c r="W136" s="39">
        <v>5.5487591255740076</v>
      </c>
      <c r="X136" s="39">
        <v>0.36203751846651944</v>
      </c>
      <c r="Y136" s="39">
        <v>0.9018137355875353</v>
      </c>
      <c r="AA136" s="39">
        <v>84.469696969696969</v>
      </c>
      <c r="AB136" s="39">
        <v>5.7620513827801769</v>
      </c>
      <c r="AD136">
        <f t="shared" si="5"/>
        <v>256.91855436260732</v>
      </c>
      <c r="AE136" s="15">
        <v>369</v>
      </c>
      <c r="AF136">
        <f t="shared" si="6"/>
        <v>112.08144563739268</v>
      </c>
      <c r="AG136">
        <f t="shared" si="7"/>
        <v>12562.250456167809</v>
      </c>
    </row>
    <row r="137" spans="1:33" x14ac:dyDescent="0.25">
      <c r="A137" t="s">
        <v>163</v>
      </c>
      <c r="B137" t="s">
        <v>129</v>
      </c>
      <c r="K137" s="39"/>
      <c r="L137" s="39"/>
      <c r="M137" s="39"/>
      <c r="N137" s="39"/>
      <c r="P137" s="39"/>
      <c r="Q137" s="39"/>
      <c r="V137" s="39">
        <v>113</v>
      </c>
      <c r="W137" s="39">
        <v>5.5530615190325365</v>
      </c>
      <c r="X137" s="39">
        <v>0.2338358623341712</v>
      </c>
      <c r="Y137" s="39">
        <v>0.5824711024954532</v>
      </c>
      <c r="AA137" s="39">
        <v>85.22727272727272</v>
      </c>
      <c r="AB137" s="39">
        <v>5.7868973813667077</v>
      </c>
      <c r="AD137">
        <f t="shared" si="5"/>
        <v>258.02630034104527</v>
      </c>
      <c r="AE137" s="15">
        <v>326</v>
      </c>
      <c r="AF137">
        <f t="shared" si="6"/>
        <v>67.973699658954729</v>
      </c>
      <c r="AG137">
        <f t="shared" si="7"/>
        <v>4620.4238453257822</v>
      </c>
    </row>
    <row r="138" spans="1:33" x14ac:dyDescent="0.25">
      <c r="A138">
        <v>1</v>
      </c>
      <c r="B138">
        <v>5.4510384535657002</v>
      </c>
      <c r="K138" s="39"/>
      <c r="L138" s="39"/>
      <c r="M138" s="39"/>
      <c r="N138" s="39"/>
      <c r="P138" s="39"/>
      <c r="Q138" s="39"/>
      <c r="V138" s="39">
        <v>114</v>
      </c>
      <c r="W138" s="39">
        <v>5.5573639124910654</v>
      </c>
      <c r="X138" s="39">
        <v>0.63704147861360649</v>
      </c>
      <c r="Y138" s="39">
        <v>1.5868320995738774</v>
      </c>
      <c r="AA138" s="39">
        <v>85.984848484848484</v>
      </c>
      <c r="AB138" s="39">
        <v>5.7868973813667077</v>
      </c>
      <c r="AD138">
        <f t="shared" si="5"/>
        <v>259.13882254576941</v>
      </c>
      <c r="AE138" s="15">
        <v>490</v>
      </c>
      <c r="AF138">
        <f t="shared" si="6"/>
        <v>230.86117745423059</v>
      </c>
      <c r="AG138">
        <f t="shared" si="7"/>
        <v>53296.883255553745</v>
      </c>
    </row>
    <row r="139" spans="1:33" x14ac:dyDescent="0.25">
      <c r="A139">
        <v>2</v>
      </c>
      <c r="B139">
        <v>5.4380793089231956</v>
      </c>
      <c r="K139" s="39"/>
      <c r="L139" s="39"/>
      <c r="M139" s="39"/>
      <c r="N139" s="39"/>
      <c r="P139" s="39"/>
      <c r="Q139" s="39"/>
      <c r="V139" s="39">
        <v>115</v>
      </c>
      <c r="W139" s="39">
        <v>5.5616663059495943</v>
      </c>
      <c r="X139" s="39">
        <v>-0.13232067699515326</v>
      </c>
      <c r="Y139" s="39">
        <v>-0.32960286691255203</v>
      </c>
      <c r="AA139" s="39">
        <v>86.742424242424235</v>
      </c>
      <c r="AB139" s="39">
        <v>5.8141305318250662</v>
      </c>
      <c r="AD139">
        <f t="shared" si="5"/>
        <v>260.25614157025331</v>
      </c>
      <c r="AE139" s="15">
        <v>228</v>
      </c>
      <c r="AF139">
        <f t="shared" si="6"/>
        <v>-32.256141570253305</v>
      </c>
      <c r="AG139">
        <f t="shared" si="7"/>
        <v>1040.4586690002234</v>
      </c>
    </row>
    <row r="140" spans="1:33" x14ac:dyDescent="0.25">
      <c r="A140">
        <v>3</v>
      </c>
      <c r="B140">
        <v>5.6489742381612063</v>
      </c>
      <c r="K140" s="39"/>
      <c r="L140" s="39"/>
      <c r="M140" s="39"/>
      <c r="N140" s="39"/>
      <c r="P140" s="39"/>
      <c r="Q140" s="39"/>
      <c r="V140" s="39">
        <v>116</v>
      </c>
      <c r="W140" s="39">
        <v>5.5659686994081232</v>
      </c>
      <c r="X140" s="39">
        <v>-1.6892614512903137E-2</v>
      </c>
      <c r="Y140" s="39">
        <v>-4.2078489163907475E-2</v>
      </c>
      <c r="AA140" s="39">
        <v>87.5</v>
      </c>
      <c r="AB140" s="39">
        <v>5.8348107370626048</v>
      </c>
      <c r="AD140">
        <f t="shared" si="5"/>
        <v>261.37827809676259</v>
      </c>
      <c r="AE140" s="15">
        <v>257</v>
      </c>
      <c r="AF140">
        <f t="shared" si="6"/>
        <v>-4.3782780967625854</v>
      </c>
      <c r="AG140">
        <f t="shared" si="7"/>
        <v>19.169319092591007</v>
      </c>
    </row>
    <row r="141" spans="1:33" x14ac:dyDescent="0.25">
      <c r="A141">
        <v>4</v>
      </c>
      <c r="B141">
        <v>5.8377304471659395</v>
      </c>
      <c r="K141" s="39"/>
      <c r="L141" s="39"/>
      <c r="M141" s="39"/>
      <c r="N141" s="39"/>
      <c r="P141" s="39"/>
      <c r="Q141" s="39"/>
      <c r="V141" s="39">
        <v>117</v>
      </c>
      <c r="W141" s="39">
        <v>5.5702710928666521</v>
      </c>
      <c r="X141" s="39">
        <v>-5.2818196401944739E-2</v>
      </c>
      <c r="Y141" s="39">
        <v>-0.13156695804895932</v>
      </c>
      <c r="AA141" s="39">
        <v>88.257575757575751</v>
      </c>
      <c r="AB141" s="39">
        <v>5.8377304471659395</v>
      </c>
      <c r="AD141">
        <f t="shared" si="5"/>
        <v>262.50525289673783</v>
      </c>
      <c r="AE141" s="15">
        <v>249</v>
      </c>
      <c r="AF141">
        <f t="shared" si="6"/>
        <v>-13.505252896737829</v>
      </c>
      <c r="AG141">
        <f t="shared" si="7"/>
        <v>182.39185580484553</v>
      </c>
    </row>
    <row r="142" spans="1:33" x14ac:dyDescent="0.25">
      <c r="A142">
        <v>5</v>
      </c>
      <c r="B142">
        <v>5.8833223884882786</v>
      </c>
      <c r="K142" s="39"/>
      <c r="L142" s="39"/>
      <c r="M142" s="39"/>
      <c r="N142" s="39"/>
      <c r="P142" s="39"/>
      <c r="Q142" s="39"/>
      <c r="V142" s="39">
        <v>118</v>
      </c>
      <c r="W142" s="39">
        <v>5.574573486325181</v>
      </c>
      <c r="X142" s="39">
        <v>0.13585353104968867</v>
      </c>
      <c r="Y142" s="39">
        <v>0.33840299438470178</v>
      </c>
      <c r="AA142" s="39">
        <v>89.015151515151516</v>
      </c>
      <c r="AB142" s="39">
        <v>5.8805329864007003</v>
      </c>
      <c r="AD142">
        <f t="shared" si="5"/>
        <v>263.6370868311792</v>
      </c>
      <c r="AE142" s="15">
        <v>302</v>
      </c>
      <c r="AF142">
        <f t="shared" si="6"/>
        <v>38.362913168820796</v>
      </c>
      <c r="AG142">
        <f t="shared" si="7"/>
        <v>1471.713106798484</v>
      </c>
    </row>
    <row r="143" spans="1:33" x14ac:dyDescent="0.25">
      <c r="A143">
        <v>6</v>
      </c>
      <c r="B143">
        <v>5.8916442118257715</v>
      </c>
      <c r="K143" s="39"/>
      <c r="L143" s="39"/>
      <c r="M143" s="39"/>
      <c r="N143" s="39"/>
      <c r="P143" s="39"/>
      <c r="Q143" s="39"/>
      <c r="V143" s="39">
        <v>119</v>
      </c>
      <c r="W143" s="39">
        <v>5.578875879783709</v>
      </c>
      <c r="X143" s="39">
        <v>0.13155113759116066</v>
      </c>
      <c r="Y143" s="39">
        <v>0.32768599043097668</v>
      </c>
      <c r="AA143" s="39">
        <v>89.772727272727266</v>
      </c>
      <c r="AB143" s="39">
        <v>5.8833223884882786</v>
      </c>
      <c r="AD143">
        <f t="shared" si="5"/>
        <v>264.77380085103198</v>
      </c>
      <c r="AE143" s="15">
        <v>302</v>
      </c>
      <c r="AF143">
        <f t="shared" si="6"/>
        <v>37.226199148968021</v>
      </c>
      <c r="AG143">
        <f t="shared" si="7"/>
        <v>1385.7899030786275</v>
      </c>
    </row>
    <row r="144" spans="1:33" x14ac:dyDescent="0.25">
      <c r="A144">
        <v>7</v>
      </c>
      <c r="B144">
        <v>5.602118820879701</v>
      </c>
      <c r="K144" s="39"/>
      <c r="L144" s="39"/>
      <c r="M144" s="39"/>
      <c r="N144" s="39"/>
      <c r="P144" s="39"/>
      <c r="Q144" s="39"/>
      <c r="V144" s="39">
        <v>120</v>
      </c>
      <c r="W144" s="39">
        <v>5.5831782732422379</v>
      </c>
      <c r="X144" s="39">
        <v>-9.0116829901689677E-2</v>
      </c>
      <c r="Y144" s="39">
        <v>-0.22447561611066791</v>
      </c>
      <c r="AA144" s="39">
        <v>90.530303030303031</v>
      </c>
      <c r="AB144" s="39">
        <v>5.8916442118257715</v>
      </c>
      <c r="AD144">
        <f t="shared" si="5"/>
        <v>265.91541599757568</v>
      </c>
      <c r="AE144" s="15">
        <v>243</v>
      </c>
      <c r="AF144">
        <f t="shared" si="6"/>
        <v>-22.915415997575678</v>
      </c>
      <c r="AG144">
        <f t="shared" si="7"/>
        <v>525.11629034194732</v>
      </c>
    </row>
    <row r="145" spans="1:33" x14ac:dyDescent="0.25">
      <c r="A145">
        <v>8</v>
      </c>
      <c r="B145">
        <v>5.0304379213924353</v>
      </c>
      <c r="K145" s="39"/>
      <c r="L145" s="39"/>
      <c r="M145" s="39"/>
      <c r="N145" s="39"/>
      <c r="P145" s="39"/>
      <c r="Q145" s="39"/>
      <c r="V145" s="39">
        <v>121</v>
      </c>
      <c r="W145" s="39">
        <v>5.5874806667007668</v>
      </c>
      <c r="X145" s="39">
        <v>-0.13644221313506666</v>
      </c>
      <c r="Y145" s="39">
        <v>-0.33986936613737767</v>
      </c>
      <c r="AA145" s="39">
        <v>91.287878787878782</v>
      </c>
      <c r="AB145" s="39">
        <v>5.9107966440405271</v>
      </c>
      <c r="AD145">
        <f>EXP(W145)</f>
        <v>267.06195340281204</v>
      </c>
      <c r="AE145" s="15">
        <v>233</v>
      </c>
      <c r="AF145">
        <f t="shared" si="6"/>
        <v>-34.061953402812037</v>
      </c>
      <c r="AG145">
        <f t="shared" si="7"/>
        <v>1160.2166696153386</v>
      </c>
    </row>
    <row r="146" spans="1:33" x14ac:dyDescent="0.25">
      <c r="A146">
        <v>9</v>
      </c>
      <c r="B146">
        <v>5.4424177105217932</v>
      </c>
      <c r="K146" s="39"/>
      <c r="L146" s="39"/>
      <c r="M146" s="39"/>
      <c r="N146" s="39"/>
      <c r="P146" s="39"/>
      <c r="Q146" s="39"/>
      <c r="V146" s="39">
        <v>122</v>
      </c>
      <c r="W146" s="39">
        <v>5.5917830601592957</v>
      </c>
      <c r="X146" s="39">
        <v>-0.15370375123610014</v>
      </c>
      <c r="Y146" s="39">
        <v>-0.38286682182322851</v>
      </c>
      <c r="AA146" s="39">
        <v>92.045454545454547</v>
      </c>
      <c r="AB146" s="39">
        <v>5.9135030056382698</v>
      </c>
      <c r="AD146">
        <f t="shared" si="5"/>
        <v>268.21343428985699</v>
      </c>
      <c r="AE146" s="15">
        <v>230</v>
      </c>
      <c r="AF146">
        <f t="shared" si="6"/>
        <v>-38.213434289856991</v>
      </c>
      <c r="AG146">
        <f t="shared" si="7"/>
        <v>1460.2665602252182</v>
      </c>
    </row>
    <row r="147" spans="1:33" x14ac:dyDescent="0.25">
      <c r="A147">
        <v>10</v>
      </c>
      <c r="B147">
        <v>5.0937502008067623</v>
      </c>
      <c r="K147" s="39"/>
      <c r="L147" s="39"/>
      <c r="M147" s="39"/>
      <c r="N147" s="39"/>
      <c r="P147" s="39"/>
      <c r="Q147" s="39"/>
      <c r="V147" s="39">
        <v>123</v>
      </c>
      <c r="W147" s="39">
        <v>5.5960854536178246</v>
      </c>
      <c r="X147" s="39">
        <v>5.2888784543381639E-2</v>
      </c>
      <c r="Y147" s="39">
        <v>0.13174278887386118</v>
      </c>
      <c r="AA147" s="39">
        <v>92.803030303030297</v>
      </c>
      <c r="AB147" s="39">
        <v>5.9135030056382698</v>
      </c>
      <c r="AD147">
        <f t="shared" si="5"/>
        <v>269.36987997333341</v>
      </c>
      <c r="AE147" s="15">
        <v>284</v>
      </c>
      <c r="AF147">
        <f t="shared" si="6"/>
        <v>14.630120026666589</v>
      </c>
      <c r="AG147">
        <f t="shared" si="7"/>
        <v>214.04041199467079</v>
      </c>
    </row>
    <row r="148" spans="1:33" x14ac:dyDescent="0.25">
      <c r="A148">
        <v>11</v>
      </c>
      <c r="B148">
        <v>5.6058020662959978</v>
      </c>
      <c r="K148" s="39"/>
      <c r="L148" s="39"/>
      <c r="M148" s="39"/>
      <c r="N148" s="39"/>
      <c r="P148" s="39"/>
      <c r="Q148" s="39"/>
      <c r="V148" s="39">
        <v>124</v>
      </c>
      <c r="W148" s="39">
        <v>5.6003878470763535</v>
      </c>
      <c r="X148" s="39">
        <v>0.23734260008958596</v>
      </c>
      <c r="Y148" s="39">
        <v>0.59120617583351909</v>
      </c>
      <c r="AA148" s="39">
        <v>93.560606060606062</v>
      </c>
      <c r="AB148" s="39">
        <v>5.9532433342877846</v>
      </c>
      <c r="AD148">
        <f t="shared" si="5"/>
        <v>270.53131185976554</v>
      </c>
      <c r="AE148" s="15">
        <v>343</v>
      </c>
      <c r="AF148">
        <f t="shared" si="6"/>
        <v>72.468688140234462</v>
      </c>
      <c r="AG148">
        <f t="shared" si="7"/>
        <v>5251.7107607665594</v>
      </c>
    </row>
    <row r="149" spans="1:33" x14ac:dyDescent="0.25">
      <c r="A149">
        <v>12</v>
      </c>
      <c r="B149">
        <v>5.5174528964647074</v>
      </c>
      <c r="K149" s="39"/>
      <c r="L149" s="39"/>
      <c r="M149" s="39"/>
      <c r="N149" s="39"/>
      <c r="P149" s="39"/>
      <c r="Q149" s="39"/>
      <c r="V149" s="39">
        <v>125</v>
      </c>
      <c r="W149" s="39">
        <v>5.6046902405348824</v>
      </c>
      <c r="X149" s="39">
        <v>0.27863214795339619</v>
      </c>
      <c r="Y149" s="39">
        <v>0.69405596211396092</v>
      </c>
      <c r="AA149" s="39">
        <v>94.318181818181813</v>
      </c>
      <c r="AB149" s="39">
        <v>5.955837369464831</v>
      </c>
      <c r="AD149">
        <f t="shared" si="5"/>
        <v>271.69775144797546</v>
      </c>
      <c r="AE149" s="15">
        <v>359</v>
      </c>
      <c r="AF149">
        <f t="shared" si="6"/>
        <v>87.302248552024537</v>
      </c>
      <c r="AG149">
        <f t="shared" si="7"/>
        <v>7621.6826022394707</v>
      </c>
    </row>
    <row r="150" spans="1:33" x14ac:dyDescent="0.25">
      <c r="K150" s="39"/>
      <c r="L150" s="39"/>
      <c r="M150" s="39"/>
      <c r="N150" s="39"/>
      <c r="P150" s="39"/>
      <c r="Q150" s="39"/>
      <c r="V150" s="39">
        <v>126</v>
      </c>
      <c r="W150" s="39">
        <v>5.6089926339934113</v>
      </c>
      <c r="X150" s="39">
        <v>0.28265157783236017</v>
      </c>
      <c r="Y150" s="39">
        <v>0.70406812076932379</v>
      </c>
      <c r="AA150" s="39">
        <v>95.075757575757578</v>
      </c>
      <c r="AB150" s="39">
        <v>6.0330862217988015</v>
      </c>
      <c r="AD150">
        <f t="shared" si="5"/>
        <v>272.86922032948087</v>
      </c>
      <c r="AE150" s="15">
        <v>362</v>
      </c>
      <c r="AF150">
        <f t="shared" si="6"/>
        <v>89.130779670519132</v>
      </c>
      <c r="AG150">
        <f t="shared" si="7"/>
        <v>7944.2958846746269</v>
      </c>
    </row>
    <row r="151" spans="1:33" x14ac:dyDescent="0.25">
      <c r="K151" s="39"/>
      <c r="L151" s="39"/>
      <c r="M151" s="39"/>
      <c r="N151" s="39"/>
      <c r="P151" s="39"/>
      <c r="Q151" s="39"/>
      <c r="V151" s="39">
        <v>127</v>
      </c>
      <c r="W151" s="39">
        <v>5.6132950274519402</v>
      </c>
      <c r="X151" s="39">
        <v>-1.1176206572239167E-2</v>
      </c>
      <c r="Y151" s="39">
        <v>-2.7839259978634064E-2</v>
      </c>
      <c r="AA151" s="39">
        <v>95.833333333333329</v>
      </c>
      <c r="AB151" s="39">
        <v>6.0520891689244172</v>
      </c>
      <c r="AD151">
        <f t="shared" si="5"/>
        <v>274.04574018889468</v>
      </c>
      <c r="AE151" s="15">
        <v>271</v>
      </c>
      <c r="AF151">
        <f t="shared" si="6"/>
        <v>-3.0457401888946833</v>
      </c>
      <c r="AG151">
        <f t="shared" si="7"/>
        <v>9.2765332982482214</v>
      </c>
    </row>
    <row r="152" spans="1:33" x14ac:dyDescent="0.25">
      <c r="K152" s="39"/>
      <c r="L152" s="39"/>
      <c r="M152" s="39"/>
      <c r="N152" s="39"/>
      <c r="P152" s="39"/>
      <c r="Q152" s="39"/>
      <c r="V152" s="39">
        <v>128</v>
      </c>
      <c r="W152" s="39">
        <v>5.6175974209104691</v>
      </c>
      <c r="X152" s="39">
        <v>-0.58715949951803381</v>
      </c>
      <c r="Y152" s="39">
        <v>-1.4625790826566878</v>
      </c>
      <c r="AA152" s="39">
        <v>96.590909090909093</v>
      </c>
      <c r="AB152" s="39">
        <v>6.0913098820776979</v>
      </c>
      <c r="AD152">
        <f t="shared" si="5"/>
        <v>275.22733280432664</v>
      </c>
      <c r="AE152" s="15">
        <v>153</v>
      </c>
      <c r="AF152">
        <f t="shared" si="6"/>
        <v>-122.22733280432664</v>
      </c>
      <c r="AG152">
        <f t="shared" si="7"/>
        <v>14939.520884459622</v>
      </c>
    </row>
    <row r="153" spans="1:33" x14ac:dyDescent="0.25">
      <c r="K153" s="39"/>
      <c r="L153" s="39"/>
      <c r="M153" s="39"/>
      <c r="N153" s="39"/>
      <c r="P153" s="39"/>
      <c r="Q153" s="39"/>
      <c r="V153" s="39">
        <v>129</v>
      </c>
      <c r="W153" s="39">
        <v>5.621899814368998</v>
      </c>
      <c r="X153" s="39">
        <v>-0.17948210384720475</v>
      </c>
      <c r="Y153" s="39">
        <v>-0.44707915142923538</v>
      </c>
      <c r="AA153" s="39">
        <v>97.348484848484844</v>
      </c>
      <c r="AB153" s="39">
        <v>6.1114673395026786</v>
      </c>
      <c r="AD153">
        <f t="shared" si="5"/>
        <v>276.41402004778632</v>
      </c>
      <c r="AE153" s="15">
        <v>231</v>
      </c>
      <c r="AF153">
        <f t="shared" si="6"/>
        <v>-45.414020047786323</v>
      </c>
      <c r="AG153">
        <f t="shared" si="7"/>
        <v>2062.433216900738</v>
      </c>
    </row>
    <row r="154" spans="1:33" x14ac:dyDescent="0.25">
      <c r="K154" s="39"/>
      <c r="L154" s="39"/>
      <c r="M154" s="39"/>
      <c r="N154" s="39"/>
      <c r="P154" s="39"/>
      <c r="Q154" s="39"/>
      <c r="V154" s="39">
        <v>130</v>
      </c>
      <c r="W154" s="39">
        <v>5.6262022078275269</v>
      </c>
      <c r="X154" s="39">
        <v>-0.53245200702076456</v>
      </c>
      <c r="Y154" s="39">
        <v>-1.3263060013954926</v>
      </c>
      <c r="AA154" s="39">
        <v>98.106060606060595</v>
      </c>
      <c r="AB154" s="39">
        <v>6.1944053911046719</v>
      </c>
      <c r="AD154">
        <f t="shared" ref="AD154:AD156" si="9">EXP(W154)</f>
        <v>277.60582388558799</v>
      </c>
      <c r="AE154" s="15">
        <v>163</v>
      </c>
      <c r="AF154">
        <f t="shared" ref="AF154:AF156" si="10">AE154-AD154</f>
        <v>-114.60582388558799</v>
      </c>
      <c r="AG154">
        <f t="shared" ref="AG154:AG156" si="11">AF154^2</f>
        <v>13134.494868494412</v>
      </c>
    </row>
    <row r="155" spans="1:33" ht="13.8" thickBot="1" x14ac:dyDescent="0.3">
      <c r="K155" s="40"/>
      <c r="L155" s="40"/>
      <c r="M155" s="40"/>
      <c r="N155" s="40"/>
      <c r="P155" s="40"/>
      <c r="Q155" s="40"/>
      <c r="V155" s="39">
        <v>131</v>
      </c>
      <c r="W155" s="39">
        <v>5.6305046012860558</v>
      </c>
      <c r="X155" s="39">
        <v>-2.4702534990058034E-2</v>
      </c>
      <c r="Y155" s="39">
        <v>-6.1532532463002665E-2</v>
      </c>
      <c r="AA155" s="39">
        <v>98.86363636363636</v>
      </c>
      <c r="AB155" s="39">
        <v>6.300785794663244</v>
      </c>
      <c r="AD155">
        <f t="shared" si="9"/>
        <v>278.80276637875727</v>
      </c>
      <c r="AE155" s="15">
        <v>272</v>
      </c>
      <c r="AF155">
        <f t="shared" si="10"/>
        <v>-6.8027663787572692</v>
      </c>
      <c r="AG155">
        <f t="shared" si="11"/>
        <v>46.27763040395029</v>
      </c>
    </row>
    <row r="156" spans="1:33" ht="13.8" thickBot="1" x14ac:dyDescent="0.3">
      <c r="V156" s="40">
        <v>132</v>
      </c>
      <c r="W156" s="40">
        <v>5.6348069947445847</v>
      </c>
      <c r="X156" s="40">
        <v>-0.11735409827987731</v>
      </c>
      <c r="Y156" s="40">
        <v>-0.29232201735486707</v>
      </c>
      <c r="AA156" s="40">
        <v>99.62121212121211</v>
      </c>
      <c r="AB156" s="40">
        <v>6.7190131543852596</v>
      </c>
      <c r="AD156">
        <f>EXP(W156)</f>
        <v>280.00486968343944</v>
      </c>
      <c r="AE156" s="15">
        <v>298.800587199061</v>
      </c>
      <c r="AF156">
        <f t="shared" si="10"/>
        <v>18.795717515621561</v>
      </c>
      <c r="AG156">
        <f t="shared" si="11"/>
        <v>353.27899692704318</v>
      </c>
    </row>
    <row r="160" spans="1:33" x14ac:dyDescent="0.25">
      <c r="AC160" s="18" t="s">
        <v>164</v>
      </c>
      <c r="AD160" s="46" t="s">
        <v>159</v>
      </c>
      <c r="AE160" s="46" t="s">
        <v>160</v>
      </c>
    </row>
    <row r="161" spans="29:31" x14ac:dyDescent="0.25">
      <c r="AC161">
        <v>1</v>
      </c>
      <c r="AD161">
        <v>267.06195340281204</v>
      </c>
      <c r="AE161">
        <v>233</v>
      </c>
    </row>
    <row r="162" spans="29:31" x14ac:dyDescent="0.25">
      <c r="AC162">
        <v>2</v>
      </c>
      <c r="AD162">
        <v>268.21343428985699</v>
      </c>
      <c r="AE162">
        <v>230</v>
      </c>
    </row>
    <row r="163" spans="29:31" x14ac:dyDescent="0.25">
      <c r="AC163">
        <v>3</v>
      </c>
      <c r="AD163">
        <v>269.36987997333341</v>
      </c>
      <c r="AE163">
        <v>284</v>
      </c>
    </row>
    <row r="164" spans="29:31" x14ac:dyDescent="0.25">
      <c r="AC164">
        <v>4</v>
      </c>
      <c r="AD164">
        <v>270.53131185976554</v>
      </c>
      <c r="AE164">
        <v>343</v>
      </c>
    </row>
    <row r="165" spans="29:31" x14ac:dyDescent="0.25">
      <c r="AC165">
        <v>5</v>
      </c>
      <c r="AD165">
        <v>271.69775144797546</v>
      </c>
      <c r="AE165">
        <v>359</v>
      </c>
    </row>
    <row r="166" spans="29:31" x14ac:dyDescent="0.25">
      <c r="AC166">
        <v>6</v>
      </c>
      <c r="AD166">
        <v>272.86922032948087</v>
      </c>
      <c r="AE166">
        <v>362</v>
      </c>
    </row>
    <row r="167" spans="29:31" x14ac:dyDescent="0.25">
      <c r="AC167">
        <v>7</v>
      </c>
      <c r="AD167">
        <v>274.04574018889468</v>
      </c>
      <c r="AE167">
        <v>271</v>
      </c>
    </row>
    <row r="168" spans="29:31" x14ac:dyDescent="0.25">
      <c r="AC168">
        <v>8</v>
      </c>
      <c r="AD168">
        <v>275.22733280432664</v>
      </c>
      <c r="AE168">
        <v>153</v>
      </c>
    </row>
    <row r="169" spans="29:31" x14ac:dyDescent="0.25">
      <c r="AC169">
        <v>9</v>
      </c>
      <c r="AD169">
        <v>276.41402004778632</v>
      </c>
      <c r="AE169">
        <v>231</v>
      </c>
    </row>
    <row r="170" spans="29:31" x14ac:dyDescent="0.25">
      <c r="AC170">
        <v>10</v>
      </c>
      <c r="AD170">
        <v>277.60582388558799</v>
      </c>
      <c r="AE170">
        <v>163</v>
      </c>
    </row>
    <row r="171" spans="29:31" x14ac:dyDescent="0.25">
      <c r="AC171">
        <v>11</v>
      </c>
      <c r="AD171">
        <v>278.80276637875727</v>
      </c>
      <c r="AE171">
        <v>272</v>
      </c>
    </row>
    <row r="172" spans="29:31" x14ac:dyDescent="0.25">
      <c r="AC172">
        <v>12</v>
      </c>
      <c r="AD172">
        <v>280.00486968343944</v>
      </c>
      <c r="AE172">
        <v>298.800587199061</v>
      </c>
    </row>
  </sheetData>
  <sortState ref="AB25:AB156">
    <sortCondition ref="AB25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 1</vt:lpstr>
      <vt:lpstr>Sheet4</vt:lpstr>
      <vt:lpstr>Sheet1</vt:lpstr>
      <vt:lpstr>Sheet2</vt:lpstr>
      <vt:lpstr>Seasonal Naive</vt:lpstr>
      <vt:lpstr>descriptive stats-Jarque Bera</vt:lpstr>
      <vt:lpstr>CHARTS</vt:lpstr>
      <vt:lpstr>Sheet3</vt:lpstr>
      <vt:lpstr>Sheet5</vt:lpstr>
      <vt:lpstr>logaritmoi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Giannhs Koutsourelhs</cp:lastModifiedBy>
  <dcterms:created xsi:type="dcterms:W3CDTF">2023-11-11T08:49:39Z</dcterms:created>
  <dcterms:modified xsi:type="dcterms:W3CDTF">2024-01-12T17:02:01Z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2023-11-11T00:00:00Z</vt:filetime>
  </property>
  <property fmtid="{D5CDD505-2E9C-101B-9397-08002B2CF9AE}" pid="3" name="Producer">
    <vt:lpwstr>iLovePDF</vt:lpwstr>
  </property>
</Properties>
</file>